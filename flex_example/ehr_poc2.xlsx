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b\Documents\R\R Projects\Distill_Blog\data\"/>
    </mc:Choice>
  </mc:AlternateContent>
  <xr:revisionPtr revIDLastSave="0" documentId="13_ncr:1_{9B055874-888D-4D0C-B413-1A6723E6DF9D}" xr6:coauthVersionLast="47" xr6:coauthVersionMax="47" xr10:uidLastSave="{00000000-0000-0000-0000-000000000000}"/>
  <bookViews>
    <workbookView xWindow="-120" yWindow="-120" windowWidth="29040" windowHeight="15720" xr2:uid="{80F9EC0A-CBBC-4CD5-A4BD-A449C9CC6604}"/>
  </bookViews>
  <sheets>
    <sheet name="Sheet1" sheetId="1" r:id="rId1"/>
    <sheet name="#Sheet1 (2)" sheetId="2" r:id="rId2"/>
  </sheets>
  <definedNames>
    <definedName name="_xlnm._FilterDatabase" localSheetId="1" hidden="1">'#Sheet1 (2)'!$A$1:$P$76</definedName>
    <definedName name="_xlnm._FilterDatabase" localSheetId="0" hidden="1">Sheet1!$A$1:$P$76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5" i="1" l="1"/>
  <c r="P25" i="1" s="1"/>
  <c r="O49" i="1"/>
  <c r="P49" i="1" s="1"/>
  <c r="O50" i="1"/>
  <c r="P50" i="1" s="1"/>
  <c r="O56" i="1"/>
  <c r="P56" i="1" s="1"/>
  <c r="O55" i="1"/>
  <c r="P55" i="1" s="1"/>
  <c r="O5" i="1"/>
  <c r="P5" i="1" s="1"/>
  <c r="O8" i="1"/>
  <c r="P8" i="1" s="1"/>
  <c r="O9" i="1"/>
  <c r="P9" i="1" s="1"/>
  <c r="O10" i="1"/>
  <c r="P10" i="1" s="1"/>
  <c r="O18" i="1"/>
  <c r="P18" i="1" s="1"/>
  <c r="O35" i="1"/>
  <c r="P35" i="1" s="1"/>
  <c r="O51" i="1"/>
  <c r="P51" i="1" s="1"/>
  <c r="O64" i="1"/>
  <c r="P64" i="1" s="1"/>
  <c r="O21" i="1"/>
  <c r="P21" i="1" s="1"/>
  <c r="O26" i="1"/>
  <c r="P26" i="1" s="1"/>
  <c r="O19" i="1"/>
  <c r="P19" i="1" s="1"/>
  <c r="O27" i="1"/>
  <c r="P27" i="1" s="1"/>
  <c r="O36" i="1"/>
  <c r="P36" i="1" s="1"/>
  <c r="O39" i="1"/>
  <c r="P39" i="1" s="1"/>
  <c r="O65" i="1"/>
  <c r="P65" i="1" s="1"/>
  <c r="O3" i="1"/>
  <c r="P3" i="1" s="1"/>
  <c r="O7" i="1"/>
  <c r="P7" i="1" s="1"/>
  <c r="O11" i="1"/>
  <c r="P11" i="1" s="1"/>
  <c r="O15" i="1"/>
  <c r="P15" i="1" s="1"/>
  <c r="O16" i="1"/>
  <c r="P16" i="1" s="1"/>
  <c r="O20" i="1"/>
  <c r="P20" i="1" s="1"/>
  <c r="O22" i="1"/>
  <c r="P22" i="1" s="1"/>
  <c r="O28" i="1"/>
  <c r="P28" i="1" s="1"/>
  <c r="O29" i="1"/>
  <c r="P29" i="1" s="1"/>
  <c r="O30" i="1"/>
  <c r="P30" i="1" s="1"/>
  <c r="O31" i="1"/>
  <c r="P31" i="1" s="1"/>
  <c r="O37" i="1"/>
  <c r="P37" i="1" s="1"/>
  <c r="O40" i="1"/>
  <c r="P40" i="1" s="1"/>
  <c r="O41" i="1"/>
  <c r="P41" i="1" s="1"/>
  <c r="O45" i="1"/>
  <c r="P45" i="1" s="1"/>
  <c r="O47" i="1"/>
  <c r="P47" i="1" s="1"/>
  <c r="O61" i="1"/>
  <c r="P61" i="1" s="1"/>
  <c r="O62" i="1"/>
  <c r="P62" i="1" s="1"/>
  <c r="O63" i="1"/>
  <c r="P63" i="1" s="1"/>
  <c r="O66" i="1"/>
  <c r="P66" i="1" s="1"/>
  <c r="O48" i="1"/>
  <c r="P48" i="1" s="1"/>
  <c r="O52" i="1"/>
  <c r="P52" i="1" s="1"/>
  <c r="O6" i="1"/>
  <c r="O58" i="1"/>
  <c r="O59" i="1"/>
  <c r="O60" i="1"/>
  <c r="O67" i="1"/>
  <c r="O68" i="1"/>
  <c r="O69" i="1"/>
  <c r="O70" i="1"/>
  <c r="O71" i="1"/>
  <c r="O72" i="1"/>
  <c r="O73" i="1"/>
  <c r="O74" i="1"/>
  <c r="O75" i="1"/>
  <c r="O76" i="1"/>
  <c r="O4" i="1"/>
  <c r="P4" i="1" s="1"/>
  <c r="O12" i="1"/>
  <c r="P12" i="1" s="1"/>
  <c r="O13" i="1"/>
  <c r="P13" i="1" s="1"/>
  <c r="O14" i="1"/>
  <c r="P14" i="1" s="1"/>
  <c r="O17" i="1"/>
  <c r="P17" i="1" s="1"/>
  <c r="O23" i="1"/>
  <c r="P23" i="1" s="1"/>
  <c r="O24" i="1"/>
  <c r="P24" i="1" s="1"/>
  <c r="O32" i="1"/>
  <c r="P32" i="1" s="1"/>
  <c r="O33" i="1"/>
  <c r="P33" i="1" s="1"/>
  <c r="O34" i="1"/>
  <c r="P34" i="1" s="1"/>
  <c r="O38" i="1"/>
  <c r="P38" i="1" s="1"/>
  <c r="O42" i="1"/>
  <c r="P42" i="1" s="1"/>
  <c r="O43" i="1"/>
  <c r="P43" i="1" s="1"/>
  <c r="O44" i="1"/>
  <c r="P44" i="1" s="1"/>
  <c r="O46" i="1"/>
  <c r="P46" i="1" s="1"/>
  <c r="O53" i="1"/>
  <c r="P53" i="1" s="1"/>
  <c r="O54" i="1"/>
  <c r="P54" i="1" s="1"/>
  <c r="O57" i="1"/>
  <c r="P57" i="1" s="1"/>
  <c r="O2" i="1"/>
  <c r="P2" i="1" s="1"/>
</calcChain>
</file>

<file path=xl/sharedStrings.xml><?xml version="1.0" encoding="utf-8"?>
<sst xmlns="http://schemas.openxmlformats.org/spreadsheetml/2006/main" count="1214" uniqueCount="305">
  <si>
    <t>enc</t>
  </si>
  <si>
    <t>pt</t>
  </si>
  <si>
    <t>dos</t>
  </si>
  <si>
    <t>prov</t>
  </si>
  <si>
    <t>loc</t>
  </si>
  <si>
    <t>stat</t>
  </si>
  <si>
    <t>MU2582A29</t>
  </si>
  <si>
    <t>MU523A99</t>
  </si>
  <si>
    <t>MU1777A164</t>
  </si>
  <si>
    <t>MU2160A33</t>
  </si>
  <si>
    <t>MU2582A27</t>
  </si>
  <si>
    <t>MU2582A28</t>
  </si>
  <si>
    <t>MU1577A103</t>
  </si>
  <si>
    <t>MU937A71</t>
  </si>
  <si>
    <t>MU1777A162</t>
  </si>
  <si>
    <t>Johnson</t>
  </si>
  <si>
    <t>Smith</t>
  </si>
  <si>
    <t>Valdosta</t>
  </si>
  <si>
    <t>Atlanta</t>
  </si>
  <si>
    <t>Patient</t>
  </si>
  <si>
    <t>payer</t>
  </si>
  <si>
    <t>Aetna</t>
  </si>
  <si>
    <t>UHC</t>
  </si>
  <si>
    <t>Medicare</t>
  </si>
  <si>
    <t>Ready</t>
  </si>
  <si>
    <t>New</t>
  </si>
  <si>
    <t>type</t>
  </si>
  <si>
    <t>HCFA</t>
  </si>
  <si>
    <t>UB04</t>
  </si>
  <si>
    <t>Billed</t>
  </si>
  <si>
    <t>MU614A23</t>
  </si>
  <si>
    <t>MU8526A3</t>
  </si>
  <si>
    <t>BCBS</t>
  </si>
  <si>
    <t>Meritain</t>
  </si>
  <si>
    <t>MU157A13</t>
  </si>
  <si>
    <t>bal</t>
  </si>
  <si>
    <t>bill</t>
  </si>
  <si>
    <t>Complete</t>
  </si>
  <si>
    <t>Credit</t>
  </si>
  <si>
    <t>Refund</t>
  </si>
  <si>
    <t>CHARGES</t>
  </si>
  <si>
    <t>UNSIGNED</t>
  </si>
  <si>
    <t>LOCATION</t>
  </si>
  <si>
    <t>Cigna</t>
  </si>
  <si>
    <t>REJECTION</t>
  </si>
  <si>
    <t>DENIAL</t>
  </si>
  <si>
    <t>MU2160A32</t>
  </si>
  <si>
    <t>MU818A17</t>
  </si>
  <si>
    <t>MU991A19</t>
  </si>
  <si>
    <t>MU451A14</t>
  </si>
  <si>
    <t>instype</t>
  </si>
  <si>
    <t>Primary</t>
  </si>
  <si>
    <t>Secondary</t>
  </si>
  <si>
    <t>Gibson</t>
  </si>
  <si>
    <t>today</t>
  </si>
  <si>
    <t>Humana</t>
  </si>
  <si>
    <t>Ambetter</t>
  </si>
  <si>
    <t>Medicaid</t>
  </si>
  <si>
    <t>AB001</t>
  </si>
  <si>
    <t>AB073</t>
  </si>
  <si>
    <t>AB072</t>
  </si>
  <si>
    <t>AB071</t>
  </si>
  <si>
    <t>AB070</t>
  </si>
  <si>
    <t>AB069</t>
  </si>
  <si>
    <t>AB068</t>
  </si>
  <si>
    <t>AB067</t>
  </si>
  <si>
    <t>AB066</t>
  </si>
  <si>
    <t>AB065</t>
  </si>
  <si>
    <t>AB064</t>
  </si>
  <si>
    <t>AB063</t>
  </si>
  <si>
    <t>AB062</t>
  </si>
  <si>
    <t>AB061</t>
  </si>
  <si>
    <t>AB060</t>
  </si>
  <si>
    <t>AB059</t>
  </si>
  <si>
    <t>AB058</t>
  </si>
  <si>
    <t>AB057</t>
  </si>
  <si>
    <t>AB056</t>
  </si>
  <si>
    <t>AB055</t>
  </si>
  <si>
    <t>AB054</t>
  </si>
  <si>
    <t>AB053</t>
  </si>
  <si>
    <t>AB052</t>
  </si>
  <si>
    <t>AB051</t>
  </si>
  <si>
    <t>AB050</t>
  </si>
  <si>
    <t>AB049</t>
  </si>
  <si>
    <t>AB048</t>
  </si>
  <si>
    <t>AB047</t>
  </si>
  <si>
    <t>AB046</t>
  </si>
  <si>
    <t>AB045</t>
  </si>
  <si>
    <t>AB044</t>
  </si>
  <si>
    <t>AB043</t>
  </si>
  <si>
    <t>AB042</t>
  </si>
  <si>
    <t>AB041</t>
  </si>
  <si>
    <t>AB040</t>
  </si>
  <si>
    <t>AB039</t>
  </si>
  <si>
    <t>AB038</t>
  </si>
  <si>
    <t>AB037</t>
  </si>
  <si>
    <t>AB036</t>
  </si>
  <si>
    <t>AB035</t>
  </si>
  <si>
    <t>AB034</t>
  </si>
  <si>
    <t>AB033</t>
  </si>
  <si>
    <t>AB032</t>
  </si>
  <si>
    <t>AB031</t>
  </si>
  <si>
    <t>AB030</t>
  </si>
  <si>
    <t>AB029</t>
  </si>
  <si>
    <t>AB028</t>
  </si>
  <si>
    <t>AB027</t>
  </si>
  <si>
    <t>AB026</t>
  </si>
  <si>
    <t>AB025</t>
  </si>
  <si>
    <t>AB024</t>
  </si>
  <si>
    <t>AB023</t>
  </si>
  <si>
    <t>AB022</t>
  </si>
  <si>
    <t>AB021</t>
  </si>
  <si>
    <t>AB020</t>
  </si>
  <si>
    <t>AB019</t>
  </si>
  <si>
    <t>AB018</t>
  </si>
  <si>
    <t>AB017</t>
  </si>
  <si>
    <t>AB016</t>
  </si>
  <si>
    <t>AB015</t>
  </si>
  <si>
    <t>AB014</t>
  </si>
  <si>
    <t>AB013</t>
  </si>
  <si>
    <t>AB012</t>
  </si>
  <si>
    <t>AB011</t>
  </si>
  <si>
    <t>AB010</t>
  </si>
  <si>
    <t>AB009</t>
  </si>
  <si>
    <t>AB008</t>
  </si>
  <si>
    <t>AB007</t>
  </si>
  <si>
    <t>AB006</t>
  </si>
  <si>
    <t>AB005</t>
  </si>
  <si>
    <t>AB004</t>
  </si>
  <si>
    <t>AB003</t>
  </si>
  <si>
    <t>AB002</t>
  </si>
  <si>
    <t>A</t>
  </si>
  <si>
    <t>PTID</t>
  </si>
  <si>
    <t>SEP</t>
  </si>
  <si>
    <t>ENCID</t>
  </si>
  <si>
    <t>Long</t>
  </si>
  <si>
    <t>Tampubolon</t>
  </si>
  <si>
    <t>Noorani</t>
  </si>
  <si>
    <t>Martin</t>
  </si>
  <si>
    <t>Nededog</t>
  </si>
  <si>
    <t>Duval</t>
  </si>
  <si>
    <t>Wiggins</t>
  </si>
  <si>
    <t>Winters</t>
  </si>
  <si>
    <t>Lewis</t>
  </si>
  <si>
    <t>Jordan</t>
  </si>
  <si>
    <t>Bina</t>
  </si>
  <si>
    <t>Powers</t>
  </si>
  <si>
    <t>Tafoya</t>
  </si>
  <si>
    <t>al-Neman</t>
  </si>
  <si>
    <t>Benjamin</t>
  </si>
  <si>
    <t>Boryszewski</t>
  </si>
  <si>
    <t>Farris</t>
  </si>
  <si>
    <t>Kelley</t>
  </si>
  <si>
    <t>Karim</t>
  </si>
  <si>
    <t>Drewno</t>
  </si>
  <si>
    <t>Lee</t>
  </si>
  <si>
    <t>Garcia</t>
  </si>
  <si>
    <t>Ismael</t>
  </si>
  <si>
    <t>Carter</t>
  </si>
  <si>
    <t>Burl</t>
  </si>
  <si>
    <t>Martinez</t>
  </si>
  <si>
    <t>Tran</t>
  </si>
  <si>
    <t>Hadera</t>
  </si>
  <si>
    <t>Haque</t>
  </si>
  <si>
    <t>Sadri</t>
  </si>
  <si>
    <t>Silfvenius</t>
  </si>
  <si>
    <t>Abdou</t>
  </si>
  <si>
    <t>Kifletsion</t>
  </si>
  <si>
    <t>Gozeh</t>
  </si>
  <si>
    <t>Cly</t>
  </si>
  <si>
    <t>Mcdaniel</t>
  </si>
  <si>
    <t>Salazar</t>
  </si>
  <si>
    <t>Mix</t>
  </si>
  <si>
    <t>Bennett</t>
  </si>
  <si>
    <t>Fayad</t>
  </si>
  <si>
    <t>Scott</t>
  </si>
  <si>
    <t>Vasquez</t>
  </si>
  <si>
    <t>Joe</t>
  </si>
  <si>
    <t>Maxon</t>
  </si>
  <si>
    <t>Petrovich</t>
  </si>
  <si>
    <t>Morgan</t>
  </si>
  <si>
    <t>Castaneda</t>
  </si>
  <si>
    <t>Delgado</t>
  </si>
  <si>
    <t>Yoon</t>
  </si>
  <si>
    <t>Nguyen</t>
  </si>
  <si>
    <t>Ally</t>
  </si>
  <si>
    <t>Quezada</t>
  </si>
  <si>
    <t>Holiday</t>
  </si>
  <si>
    <t>Gayle</t>
  </si>
  <si>
    <t>Mott</t>
  </si>
  <si>
    <t>Roybal</t>
  </si>
  <si>
    <t>Ansari</t>
  </si>
  <si>
    <t>Fender</t>
  </si>
  <si>
    <t>Fleury</t>
  </si>
  <si>
    <t>Gonzalez</t>
  </si>
  <si>
    <t>Pham</t>
  </si>
  <si>
    <t>Gaffney</t>
  </si>
  <si>
    <t>Shaffer</t>
  </si>
  <si>
    <t>Lopez</t>
  </si>
  <si>
    <t>Torres</t>
  </si>
  <si>
    <t>Blackmore</t>
  </si>
  <si>
    <t>Perez</t>
  </si>
  <si>
    <t>Foster</t>
  </si>
  <si>
    <t>Cortez</t>
  </si>
  <si>
    <t>Barnes</t>
  </si>
  <si>
    <t>Bishop</t>
  </si>
  <si>
    <t>Shutts</t>
  </si>
  <si>
    <t>Hirondelle</t>
  </si>
  <si>
    <t>Johns</t>
  </si>
  <si>
    <t>Cooper</t>
  </si>
  <si>
    <t>AB074</t>
  </si>
  <si>
    <t>AB075</t>
  </si>
  <si>
    <t>AB073A1</t>
  </si>
  <si>
    <t>AB072A2</t>
  </si>
  <si>
    <t>AB071A3</t>
  </si>
  <si>
    <t>AB070A4</t>
  </si>
  <si>
    <t>AB069A5</t>
  </si>
  <si>
    <t>AB068A6</t>
  </si>
  <si>
    <t>AB067A7</t>
  </si>
  <si>
    <t>AB066A8</t>
  </si>
  <si>
    <t>AB065A9</t>
  </si>
  <si>
    <t>AB064A10</t>
  </si>
  <si>
    <t>AB063A11</t>
  </si>
  <si>
    <t>AB062A12</t>
  </si>
  <si>
    <t>AB061A13</t>
  </si>
  <si>
    <t>AB060A14</t>
  </si>
  <si>
    <t>AB059A15</t>
  </si>
  <si>
    <t>AB058A16</t>
  </si>
  <si>
    <t>AB057A17</t>
  </si>
  <si>
    <t>AB056A18</t>
  </si>
  <si>
    <t>AB055A19</t>
  </si>
  <si>
    <t>AB054A20</t>
  </si>
  <si>
    <t>AB053A21</t>
  </si>
  <si>
    <t>AB052A22</t>
  </si>
  <si>
    <t>AB051A23</t>
  </si>
  <si>
    <t>AB050A24</t>
  </si>
  <si>
    <t>AB049A25</t>
  </si>
  <si>
    <t>AB048A26</t>
  </si>
  <si>
    <t>AB047A27</t>
  </si>
  <si>
    <t>AB046A28</t>
  </si>
  <si>
    <t>AB045A29</t>
  </si>
  <si>
    <t>AB044A30</t>
  </si>
  <si>
    <t>AB043A31</t>
  </si>
  <si>
    <t>AB042A32</t>
  </si>
  <si>
    <t>AB041A33</t>
  </si>
  <si>
    <t>AB040A34</t>
  </si>
  <si>
    <t>AB039A35</t>
  </si>
  <si>
    <t>AB038A36</t>
  </si>
  <si>
    <t>AB037A37</t>
  </si>
  <si>
    <t>AB036A38</t>
  </si>
  <si>
    <t>AB035A39</t>
  </si>
  <si>
    <t>AB034A40</t>
  </si>
  <si>
    <t>AB033A41</t>
  </si>
  <si>
    <t>AB032A42</t>
  </si>
  <si>
    <t>AB031A43</t>
  </si>
  <si>
    <t>AB030A44</t>
  </si>
  <si>
    <t>AB029A45</t>
  </si>
  <si>
    <t>AB028A46</t>
  </si>
  <si>
    <t>AB027A47</t>
  </si>
  <si>
    <t>AB026A48</t>
  </si>
  <si>
    <t>AB025A49</t>
  </si>
  <si>
    <t>AB024A50</t>
  </si>
  <si>
    <t>AB023A51</t>
  </si>
  <si>
    <t>AB022A52</t>
  </si>
  <si>
    <t>AB021A53</t>
  </si>
  <si>
    <t>AB020A54</t>
  </si>
  <si>
    <t>AB019A55</t>
  </si>
  <si>
    <t>AB018A56</t>
  </si>
  <si>
    <t>AB017A57</t>
  </si>
  <si>
    <t>AB016A58</t>
  </si>
  <si>
    <t>AB015A59</t>
  </si>
  <si>
    <t>AB014A60</t>
  </si>
  <si>
    <t>AB013A61</t>
  </si>
  <si>
    <t>AB012A62</t>
  </si>
  <si>
    <t>AB011A63</t>
  </si>
  <si>
    <t>AB010A64</t>
  </si>
  <si>
    <t>AB009A65</t>
  </si>
  <si>
    <t>AB008A66</t>
  </si>
  <si>
    <t>AB007A67</t>
  </si>
  <si>
    <t>AB006A68</t>
  </si>
  <si>
    <t>AB005A69</t>
  </si>
  <si>
    <t>AB004A70</t>
  </si>
  <si>
    <t>AB003A71</t>
  </si>
  <si>
    <t>AB002A72</t>
  </si>
  <si>
    <t>AB001A73</t>
  </si>
  <si>
    <t>AB075A74</t>
  </si>
  <si>
    <t>AB074A75</t>
  </si>
  <si>
    <t>Newman</t>
  </si>
  <si>
    <t>Unsigned</t>
  </si>
  <si>
    <t>Rejection</t>
  </si>
  <si>
    <t>Location</t>
  </si>
  <si>
    <t>Charges</t>
  </si>
  <si>
    <t>Denial</t>
  </si>
  <si>
    <t>Appeal</t>
  </si>
  <si>
    <t>CO-45</t>
  </si>
  <si>
    <t>CO-50</t>
  </si>
  <si>
    <t>CO-109</t>
  </si>
  <si>
    <t>CO-148</t>
  </si>
  <si>
    <t>CO-157</t>
  </si>
  <si>
    <t>Underpay</t>
  </si>
  <si>
    <t>Overpay</t>
  </si>
  <si>
    <t>timfildate</t>
  </si>
  <si>
    <t>timcount</t>
  </si>
  <si>
    <t>timfilelim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</si>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</sst>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755A62F-9080-4E3B-87B9-74E7F7A112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7F39-0B9E-4F07-8904-65E9A7CA234A}">
  <dimension ref="A1:P76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7109375" style="3" bestFit="1" customWidth="1"/>
    <col min="2" max="2" width="5.7109375" style="3" bestFit="1" customWidth="1"/>
    <col min="3" max="3" width="12.140625" style="3" bestFit="1" customWidth="1"/>
    <col min="4" max="4" width="10.7109375" style="4" bestFit="1" customWidth="1"/>
    <col min="5" max="5" width="8.28515625" style="3" bestFit="1" customWidth="1"/>
    <col min="6" max="6" width="8.7109375" style="3" bestFit="1" customWidth="1"/>
    <col min="7" max="7" width="9.5703125" style="3" bestFit="1" customWidth="1"/>
    <col min="8" max="8" width="10.140625" style="3" bestFit="1" customWidth="1"/>
    <col min="9" max="9" width="9.7109375" style="3" bestFit="1" customWidth="1"/>
    <col min="10" max="10" width="10.7109375" style="3" bestFit="1" customWidth="1"/>
    <col min="11" max="11" width="7" style="3" bestFit="1" customWidth="1"/>
    <col min="12" max="12" width="9.7109375" style="3" bestFit="1" customWidth="1"/>
    <col min="13" max="13" width="9.5703125" style="3" bestFit="1" customWidth="1"/>
    <col min="14" max="14" width="9.85546875" style="3" bestFit="1" customWidth="1"/>
    <col min="15" max="15" width="10.7109375" style="3" bestFit="1" customWidth="1"/>
    <col min="16" max="16" width="9" style="3" bestFit="1" customWidth="1"/>
    <col min="17" max="16384" width="9.140625" style="3"/>
  </cols>
  <sheetData>
    <row r="1" spans="1:16" x14ac:dyDescent="0.25">
      <c r="A1" s="3" t="s">
        <v>0</v>
      </c>
      <c r="B1" s="3" t="s">
        <v>26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20</v>
      </c>
      <c r="H1" s="3" t="s">
        <v>50</v>
      </c>
      <c r="I1" s="3" t="s">
        <v>5</v>
      </c>
      <c r="J1" s="3" t="s">
        <v>36</v>
      </c>
      <c r="K1" s="3" t="s">
        <v>35</v>
      </c>
      <c r="L1" s="3" t="s">
        <v>54</v>
      </c>
      <c r="M1" s="3" t="s">
        <v>304</v>
      </c>
      <c r="N1" s="3" t="s">
        <v>303</v>
      </c>
      <c r="O1" s="3" t="s">
        <v>301</v>
      </c>
      <c r="P1" s="3" t="s">
        <v>302</v>
      </c>
    </row>
    <row r="2" spans="1:16" x14ac:dyDescent="0.25">
      <c r="A2" s="3" t="s">
        <v>212</v>
      </c>
      <c r="B2" s="3" t="s">
        <v>27</v>
      </c>
      <c r="C2" s="3" t="s">
        <v>135</v>
      </c>
      <c r="D2" s="4">
        <v>44595</v>
      </c>
      <c r="E2" s="3" t="s">
        <v>15</v>
      </c>
      <c r="F2" s="3" t="s">
        <v>17</v>
      </c>
      <c r="G2" s="3" t="s">
        <v>21</v>
      </c>
      <c r="H2" s="3" t="s">
        <v>51</v>
      </c>
      <c r="I2" s="5" t="s">
        <v>288</v>
      </c>
      <c r="K2" s="3">
        <v>975</v>
      </c>
      <c r="L2" s="4">
        <v>44604</v>
      </c>
      <c r="N2" s="3">
        <v>90</v>
      </c>
      <c r="O2" s="4">
        <f>D2+N2</f>
        <v>44685</v>
      </c>
      <c r="P2" s="3">
        <f>O2-L2</f>
        <v>81</v>
      </c>
    </row>
    <row r="3" spans="1:16" x14ac:dyDescent="0.25">
      <c r="A3" s="3" t="s">
        <v>214</v>
      </c>
      <c r="B3" s="3" t="s">
        <v>27</v>
      </c>
      <c r="C3" s="3" t="s">
        <v>137</v>
      </c>
      <c r="D3" s="4">
        <v>44596</v>
      </c>
      <c r="E3" s="3" t="s">
        <v>15</v>
      </c>
      <c r="F3" s="3" t="s">
        <v>17</v>
      </c>
      <c r="G3" s="3" t="s">
        <v>23</v>
      </c>
      <c r="H3" s="3" t="s">
        <v>51</v>
      </c>
      <c r="I3" s="5" t="s">
        <v>288</v>
      </c>
      <c r="K3" s="3">
        <v>711.76</v>
      </c>
      <c r="L3" s="4">
        <v>44604</v>
      </c>
      <c r="N3" s="3">
        <v>365</v>
      </c>
      <c r="O3" s="4">
        <f>D3+N3</f>
        <v>44961</v>
      </c>
      <c r="P3" s="3">
        <f>O3-L3</f>
        <v>357</v>
      </c>
    </row>
    <row r="4" spans="1:16" x14ac:dyDescent="0.25">
      <c r="A4" s="3" t="s">
        <v>213</v>
      </c>
      <c r="B4" s="3" t="s">
        <v>27</v>
      </c>
      <c r="C4" s="3" t="s">
        <v>136</v>
      </c>
      <c r="D4" s="4">
        <v>44603</v>
      </c>
      <c r="E4" s="3" t="s">
        <v>15</v>
      </c>
      <c r="F4" s="3" t="s">
        <v>17</v>
      </c>
      <c r="G4" s="3" t="s">
        <v>22</v>
      </c>
      <c r="H4" s="3" t="s">
        <v>51</v>
      </c>
      <c r="I4" s="5" t="s">
        <v>288</v>
      </c>
      <c r="K4" s="3">
        <v>723.07</v>
      </c>
      <c r="L4" s="4">
        <v>44604</v>
      </c>
      <c r="N4" s="3">
        <v>90</v>
      </c>
      <c r="O4" s="4">
        <f>D4+N4</f>
        <v>44693</v>
      </c>
      <c r="P4" s="3">
        <f>O4-L4</f>
        <v>89</v>
      </c>
    </row>
    <row r="5" spans="1:16" x14ac:dyDescent="0.25">
      <c r="A5" s="3" t="s">
        <v>215</v>
      </c>
      <c r="B5" s="3" t="s">
        <v>27</v>
      </c>
      <c r="C5" s="3" t="s">
        <v>138</v>
      </c>
      <c r="D5" s="4">
        <v>44603</v>
      </c>
      <c r="E5" s="3" t="s">
        <v>15</v>
      </c>
      <c r="F5" s="3" t="s">
        <v>17</v>
      </c>
      <c r="G5" s="3" t="s">
        <v>32</v>
      </c>
      <c r="H5" s="3" t="s">
        <v>51</v>
      </c>
      <c r="I5" s="5" t="s">
        <v>288</v>
      </c>
      <c r="K5" s="3">
        <v>659.76</v>
      </c>
      <c r="L5" s="4">
        <v>44604</v>
      </c>
      <c r="N5" s="3">
        <v>365</v>
      </c>
      <c r="O5" s="4">
        <f>D5+N5</f>
        <v>44968</v>
      </c>
      <c r="P5" s="3">
        <f>O5-L5</f>
        <v>364</v>
      </c>
    </row>
    <row r="6" spans="1:16" x14ac:dyDescent="0.25">
      <c r="A6" s="3" t="s">
        <v>216</v>
      </c>
      <c r="B6" s="3" t="s">
        <v>27</v>
      </c>
      <c r="C6" s="3" t="s">
        <v>139</v>
      </c>
      <c r="D6" s="4">
        <v>44602</v>
      </c>
      <c r="E6" s="3" t="s">
        <v>15</v>
      </c>
      <c r="F6" s="3" t="s">
        <v>17</v>
      </c>
      <c r="G6" s="3" t="s">
        <v>19</v>
      </c>
      <c r="H6" s="3" t="s">
        <v>19</v>
      </c>
      <c r="I6" s="3" t="s">
        <v>29</v>
      </c>
      <c r="J6" s="4">
        <v>44620</v>
      </c>
      <c r="K6" s="3">
        <v>71.87</v>
      </c>
      <c r="L6" s="4">
        <v>44604</v>
      </c>
      <c r="N6" s="3">
        <v>0</v>
      </c>
      <c r="O6" s="4">
        <f>D6+N6</f>
        <v>44602</v>
      </c>
    </row>
    <row r="7" spans="1:16" x14ac:dyDescent="0.25">
      <c r="A7" s="3" t="s">
        <v>217</v>
      </c>
      <c r="B7" s="3" t="s">
        <v>27</v>
      </c>
      <c r="C7" s="3" t="s">
        <v>140</v>
      </c>
      <c r="D7" s="4">
        <v>44601</v>
      </c>
      <c r="E7" s="3" t="s">
        <v>15</v>
      </c>
      <c r="F7" s="3" t="s">
        <v>17</v>
      </c>
      <c r="G7" s="3" t="s">
        <v>23</v>
      </c>
      <c r="H7" s="3" t="s">
        <v>51</v>
      </c>
      <c r="I7" s="3" t="s">
        <v>24</v>
      </c>
      <c r="K7" s="3">
        <v>85</v>
      </c>
      <c r="L7" s="4">
        <v>44604</v>
      </c>
      <c r="N7" s="3">
        <v>365</v>
      </c>
      <c r="O7" s="4">
        <f>D7+N7</f>
        <v>44966</v>
      </c>
      <c r="P7" s="3">
        <f>O7-L7</f>
        <v>362</v>
      </c>
    </row>
    <row r="8" spans="1:16" x14ac:dyDescent="0.25">
      <c r="A8" s="3" t="s">
        <v>218</v>
      </c>
      <c r="B8" s="3" t="s">
        <v>27</v>
      </c>
      <c r="C8" s="3" t="s">
        <v>141</v>
      </c>
      <c r="D8" s="4">
        <v>44600</v>
      </c>
      <c r="E8" s="3" t="s">
        <v>15</v>
      </c>
      <c r="F8" s="3" t="s">
        <v>17</v>
      </c>
      <c r="G8" s="3" t="s">
        <v>32</v>
      </c>
      <c r="H8" s="3" t="s">
        <v>51</v>
      </c>
      <c r="I8" s="5" t="s">
        <v>288</v>
      </c>
      <c r="K8" s="3">
        <v>640</v>
      </c>
      <c r="L8" s="4">
        <v>44604</v>
      </c>
      <c r="N8" s="3">
        <v>365</v>
      </c>
      <c r="O8" s="4">
        <f>D8+N8</f>
        <v>44965</v>
      </c>
      <c r="P8" s="3">
        <f>O8-L8</f>
        <v>361</v>
      </c>
    </row>
    <row r="9" spans="1:16" x14ac:dyDescent="0.25">
      <c r="A9" s="3" t="s">
        <v>219</v>
      </c>
      <c r="B9" s="3" t="s">
        <v>28</v>
      </c>
      <c r="C9" s="3" t="s">
        <v>142</v>
      </c>
      <c r="D9" s="4">
        <v>44600</v>
      </c>
      <c r="E9" s="3" t="s">
        <v>15</v>
      </c>
      <c r="F9" s="3" t="s">
        <v>17</v>
      </c>
      <c r="G9" s="3" t="s">
        <v>32</v>
      </c>
      <c r="H9" s="3" t="s">
        <v>51</v>
      </c>
      <c r="I9" s="3" t="s">
        <v>24</v>
      </c>
      <c r="K9" s="3">
        <v>524.5</v>
      </c>
      <c r="L9" s="4">
        <v>44604</v>
      </c>
      <c r="N9" s="3">
        <v>365</v>
      </c>
      <c r="O9" s="4">
        <f>D9+N9</f>
        <v>44965</v>
      </c>
      <c r="P9" s="3">
        <f>O9-L9</f>
        <v>361</v>
      </c>
    </row>
    <row r="10" spans="1:16" x14ac:dyDescent="0.25">
      <c r="A10" s="3" t="s">
        <v>222</v>
      </c>
      <c r="B10" s="3" t="s">
        <v>27</v>
      </c>
      <c r="C10" s="3" t="s">
        <v>145</v>
      </c>
      <c r="D10" s="4">
        <v>44599</v>
      </c>
      <c r="E10" s="3" t="s">
        <v>15</v>
      </c>
      <c r="F10" s="3" t="s">
        <v>17</v>
      </c>
      <c r="G10" s="3" t="s">
        <v>32</v>
      </c>
      <c r="H10" s="3" t="s">
        <v>51</v>
      </c>
      <c r="I10" s="5" t="s">
        <v>289</v>
      </c>
      <c r="J10" s="4">
        <v>44602</v>
      </c>
      <c r="K10" s="3">
        <v>491</v>
      </c>
      <c r="L10" s="4">
        <v>44604</v>
      </c>
      <c r="N10" s="3">
        <v>365</v>
      </c>
      <c r="O10" s="4">
        <f>D10+N10</f>
        <v>44964</v>
      </c>
      <c r="P10" s="3">
        <f>O10-L10</f>
        <v>360</v>
      </c>
    </row>
    <row r="11" spans="1:16" x14ac:dyDescent="0.25">
      <c r="A11" s="3" t="s">
        <v>223</v>
      </c>
      <c r="B11" s="3" t="s">
        <v>27</v>
      </c>
      <c r="C11" s="3" t="s">
        <v>146</v>
      </c>
      <c r="D11" s="4">
        <v>44599</v>
      </c>
      <c r="E11" s="3" t="s">
        <v>16</v>
      </c>
      <c r="F11" s="3" t="s">
        <v>18</v>
      </c>
      <c r="G11" s="3" t="s">
        <v>23</v>
      </c>
      <c r="H11" s="3" t="s">
        <v>51</v>
      </c>
      <c r="I11" s="5" t="s">
        <v>288</v>
      </c>
      <c r="K11" s="3">
        <v>488.08</v>
      </c>
      <c r="L11" s="4">
        <v>44604</v>
      </c>
      <c r="N11" s="3">
        <v>365</v>
      </c>
      <c r="O11" s="4">
        <f>D11+N11</f>
        <v>44964</v>
      </c>
      <c r="P11" s="3">
        <f>O11-L11</f>
        <v>360</v>
      </c>
    </row>
    <row r="12" spans="1:16" x14ac:dyDescent="0.25">
      <c r="A12" s="3" t="s">
        <v>220</v>
      </c>
      <c r="B12" s="3" t="s">
        <v>27</v>
      </c>
      <c r="C12" s="3" t="s">
        <v>143</v>
      </c>
      <c r="D12" s="4">
        <v>44599</v>
      </c>
      <c r="E12" s="3" t="s">
        <v>53</v>
      </c>
      <c r="F12" s="3" t="s">
        <v>18</v>
      </c>
      <c r="G12" s="3" t="s">
        <v>22</v>
      </c>
      <c r="H12" s="3" t="s">
        <v>51</v>
      </c>
      <c r="I12" s="5" t="s">
        <v>288</v>
      </c>
      <c r="K12" s="3">
        <v>508.11</v>
      </c>
      <c r="L12" s="4">
        <v>44604</v>
      </c>
      <c r="N12" s="3">
        <v>90</v>
      </c>
      <c r="O12" s="4">
        <f>D12+N12</f>
        <v>44689</v>
      </c>
      <c r="P12" s="3">
        <f>O12-L12</f>
        <v>85</v>
      </c>
    </row>
    <row r="13" spans="1:16" x14ac:dyDescent="0.25">
      <c r="A13" s="3" t="s">
        <v>221</v>
      </c>
      <c r="B13" s="3" t="s">
        <v>27</v>
      </c>
      <c r="C13" s="3" t="s">
        <v>144</v>
      </c>
      <c r="D13" s="4">
        <v>44599</v>
      </c>
      <c r="E13" s="3" t="s">
        <v>15</v>
      </c>
      <c r="F13" s="3" t="s">
        <v>17</v>
      </c>
      <c r="G13" s="3" t="s">
        <v>22</v>
      </c>
      <c r="H13" s="3" t="s">
        <v>51</v>
      </c>
      <c r="I13" s="3" t="s">
        <v>24</v>
      </c>
      <c r="K13" s="3">
        <v>508.08</v>
      </c>
      <c r="L13" s="4">
        <v>44604</v>
      </c>
      <c r="N13" s="3">
        <v>90</v>
      </c>
      <c r="O13" s="4">
        <f>D13+N13</f>
        <v>44689</v>
      </c>
      <c r="P13" s="3">
        <f>O13-L13</f>
        <v>85</v>
      </c>
    </row>
    <row r="14" spans="1:16" x14ac:dyDescent="0.25">
      <c r="A14" s="3" t="s">
        <v>224</v>
      </c>
      <c r="B14" s="3" t="s">
        <v>28</v>
      </c>
      <c r="C14" s="3" t="s">
        <v>147</v>
      </c>
      <c r="D14" s="4">
        <v>44598</v>
      </c>
      <c r="E14" s="3" t="s">
        <v>16</v>
      </c>
      <c r="F14" s="3" t="s">
        <v>18</v>
      </c>
      <c r="G14" s="3" t="s">
        <v>22</v>
      </c>
      <c r="H14" s="3" t="s">
        <v>51</v>
      </c>
      <c r="I14" s="5" t="s">
        <v>288</v>
      </c>
      <c r="K14" s="3">
        <v>85</v>
      </c>
      <c r="L14" s="4">
        <v>44604</v>
      </c>
      <c r="N14" s="3">
        <v>90</v>
      </c>
      <c r="O14" s="4">
        <f>D14+N14</f>
        <v>44688</v>
      </c>
      <c r="P14" s="3">
        <f>O14-L14</f>
        <v>84</v>
      </c>
    </row>
    <row r="15" spans="1:16" x14ac:dyDescent="0.25">
      <c r="A15" s="3" t="s">
        <v>225</v>
      </c>
      <c r="B15" s="3" t="s">
        <v>28</v>
      </c>
      <c r="C15" s="3" t="s">
        <v>287</v>
      </c>
      <c r="D15" s="4">
        <v>44597</v>
      </c>
      <c r="E15" s="3" t="s">
        <v>16</v>
      </c>
      <c r="F15" s="3" t="s">
        <v>18</v>
      </c>
      <c r="G15" s="3" t="s">
        <v>23</v>
      </c>
      <c r="H15" s="3" t="s">
        <v>51</v>
      </c>
      <c r="I15" s="5" t="s">
        <v>288</v>
      </c>
      <c r="K15" s="3">
        <v>481</v>
      </c>
      <c r="L15" s="4">
        <v>44604</v>
      </c>
      <c r="N15" s="3">
        <v>365</v>
      </c>
      <c r="O15" s="4">
        <f>D15+N15</f>
        <v>44962</v>
      </c>
      <c r="P15" s="3">
        <f>O15-L15</f>
        <v>358</v>
      </c>
    </row>
    <row r="16" spans="1:16" x14ac:dyDescent="0.25">
      <c r="A16" s="3" t="s">
        <v>227</v>
      </c>
      <c r="B16" s="3" t="s">
        <v>28</v>
      </c>
      <c r="C16" s="3" t="s">
        <v>150</v>
      </c>
      <c r="D16" s="4">
        <v>44597</v>
      </c>
      <c r="E16" s="3" t="s">
        <v>16</v>
      </c>
      <c r="G16" s="3" t="s">
        <v>23</v>
      </c>
      <c r="H16" s="3" t="s">
        <v>51</v>
      </c>
      <c r="I16" s="5" t="s">
        <v>290</v>
      </c>
      <c r="K16" s="3">
        <v>415</v>
      </c>
      <c r="L16" s="4">
        <v>44604</v>
      </c>
      <c r="N16" s="3">
        <v>365</v>
      </c>
      <c r="O16" s="4">
        <f>D16+N16</f>
        <v>44962</v>
      </c>
      <c r="P16" s="3">
        <f>O16-L16</f>
        <v>358</v>
      </c>
    </row>
    <row r="17" spans="1:16" x14ac:dyDescent="0.25">
      <c r="A17" s="3" t="s">
        <v>226</v>
      </c>
      <c r="B17" s="3" t="s">
        <v>28</v>
      </c>
      <c r="C17" s="3" t="s">
        <v>149</v>
      </c>
      <c r="D17" s="4">
        <v>44597</v>
      </c>
      <c r="E17" s="3" t="s">
        <v>16</v>
      </c>
      <c r="G17" s="3" t="s">
        <v>22</v>
      </c>
      <c r="H17" s="3" t="s">
        <v>51</v>
      </c>
      <c r="I17" s="5" t="s">
        <v>290</v>
      </c>
      <c r="K17" s="3">
        <v>420</v>
      </c>
      <c r="L17" s="4">
        <v>44604</v>
      </c>
      <c r="N17" s="3">
        <v>90</v>
      </c>
      <c r="O17" s="4">
        <f>D17+N17</f>
        <v>44687</v>
      </c>
      <c r="P17" s="3">
        <f>O17-L17</f>
        <v>83</v>
      </c>
    </row>
    <row r="18" spans="1:16" x14ac:dyDescent="0.25">
      <c r="A18" s="3" t="s">
        <v>228</v>
      </c>
      <c r="B18" s="3" t="s">
        <v>28</v>
      </c>
      <c r="C18" s="3" t="s">
        <v>151</v>
      </c>
      <c r="D18" s="4">
        <v>44594</v>
      </c>
      <c r="E18" s="3" t="s">
        <v>16</v>
      </c>
      <c r="F18" s="3" t="s">
        <v>18</v>
      </c>
      <c r="G18" s="3" t="s">
        <v>32</v>
      </c>
      <c r="H18" s="3" t="s">
        <v>51</v>
      </c>
      <c r="I18" s="5" t="s">
        <v>289</v>
      </c>
      <c r="J18" s="4">
        <v>44602</v>
      </c>
      <c r="K18" s="3">
        <v>405</v>
      </c>
      <c r="L18" s="4">
        <v>44604</v>
      </c>
      <c r="N18" s="3">
        <v>365</v>
      </c>
      <c r="O18" s="4">
        <f>D18+N18</f>
        <v>44959</v>
      </c>
      <c r="P18" s="3">
        <f>O18-L18</f>
        <v>355</v>
      </c>
    </row>
    <row r="19" spans="1:16" x14ac:dyDescent="0.25">
      <c r="A19" s="3" t="s">
        <v>229</v>
      </c>
      <c r="B19" s="3" t="s">
        <v>28</v>
      </c>
      <c r="C19" s="3" t="s">
        <v>152</v>
      </c>
      <c r="D19" s="4">
        <v>44594</v>
      </c>
      <c r="E19" s="3" t="s">
        <v>16</v>
      </c>
      <c r="F19" s="3" t="s">
        <v>18</v>
      </c>
      <c r="G19" s="3" t="s">
        <v>55</v>
      </c>
      <c r="H19" s="3" t="s">
        <v>51</v>
      </c>
      <c r="I19" s="5" t="s">
        <v>289</v>
      </c>
      <c r="J19" s="4">
        <v>44602</v>
      </c>
      <c r="K19" s="3">
        <v>405</v>
      </c>
      <c r="L19" s="4">
        <v>44604</v>
      </c>
      <c r="N19" s="3">
        <v>90</v>
      </c>
      <c r="O19" s="4">
        <f>D19+N19</f>
        <v>44684</v>
      </c>
      <c r="P19" s="3">
        <f>O19-L19</f>
        <v>80</v>
      </c>
    </row>
    <row r="20" spans="1:16" x14ac:dyDescent="0.25">
      <c r="A20" s="3" t="s">
        <v>230</v>
      </c>
      <c r="B20" s="3" t="s">
        <v>28</v>
      </c>
      <c r="C20" s="3" t="s">
        <v>153</v>
      </c>
      <c r="D20" s="4">
        <v>44594</v>
      </c>
      <c r="E20" s="3" t="s">
        <v>16</v>
      </c>
      <c r="F20" s="3" t="s">
        <v>18</v>
      </c>
      <c r="G20" s="3" t="s">
        <v>23</v>
      </c>
      <c r="H20" s="3" t="s">
        <v>51</v>
      </c>
      <c r="I20" s="5" t="s">
        <v>289</v>
      </c>
      <c r="J20" s="4">
        <v>44602</v>
      </c>
      <c r="K20" s="3">
        <v>405</v>
      </c>
      <c r="L20" s="4">
        <v>44604</v>
      </c>
      <c r="N20" s="3">
        <v>365</v>
      </c>
      <c r="O20" s="4">
        <f>D20+N20</f>
        <v>44959</v>
      </c>
      <c r="P20" s="3">
        <f>O20-L20</f>
        <v>355</v>
      </c>
    </row>
    <row r="21" spans="1:16" x14ac:dyDescent="0.25">
      <c r="A21" s="3" t="s">
        <v>231</v>
      </c>
      <c r="B21" s="3" t="s">
        <v>28</v>
      </c>
      <c r="C21" s="3" t="s">
        <v>154</v>
      </c>
      <c r="D21" s="4">
        <v>44593</v>
      </c>
      <c r="E21" s="3" t="s">
        <v>53</v>
      </c>
      <c r="F21" s="3" t="s">
        <v>18</v>
      </c>
      <c r="G21" s="3" t="s">
        <v>43</v>
      </c>
      <c r="H21" s="3" t="s">
        <v>51</v>
      </c>
      <c r="I21" s="3" t="s">
        <v>25</v>
      </c>
      <c r="K21" s="3">
        <v>401</v>
      </c>
      <c r="L21" s="4">
        <v>44604</v>
      </c>
      <c r="N21" s="3">
        <v>90</v>
      </c>
      <c r="O21" s="4">
        <f>D21+N21</f>
        <v>44683</v>
      </c>
      <c r="P21" s="3">
        <f>O21-L21</f>
        <v>79</v>
      </c>
    </row>
    <row r="22" spans="1:16" x14ac:dyDescent="0.25">
      <c r="A22" s="3" t="s">
        <v>233</v>
      </c>
      <c r="B22" s="3" t="s">
        <v>27</v>
      </c>
      <c r="C22" s="3" t="s">
        <v>156</v>
      </c>
      <c r="D22" s="4">
        <v>44593</v>
      </c>
      <c r="E22" s="3" t="s">
        <v>16</v>
      </c>
      <c r="G22" s="3" t="s">
        <v>23</v>
      </c>
      <c r="H22" s="3" t="s">
        <v>19</v>
      </c>
      <c r="I22" s="5" t="s">
        <v>290</v>
      </c>
      <c r="K22" s="3">
        <v>393</v>
      </c>
      <c r="L22" s="4">
        <v>44604</v>
      </c>
      <c r="N22" s="3">
        <v>365</v>
      </c>
      <c r="O22" s="4">
        <f>D22+N22</f>
        <v>44958</v>
      </c>
      <c r="P22" s="3">
        <f>O22-L22</f>
        <v>354</v>
      </c>
    </row>
    <row r="23" spans="1:16" x14ac:dyDescent="0.25">
      <c r="A23" s="3" t="s">
        <v>232</v>
      </c>
      <c r="B23" s="3" t="s">
        <v>27</v>
      </c>
      <c r="C23" s="3" t="s">
        <v>155</v>
      </c>
      <c r="D23" s="4">
        <v>44593</v>
      </c>
      <c r="E23" s="3" t="s">
        <v>16</v>
      </c>
      <c r="F23" s="3" t="s">
        <v>17</v>
      </c>
      <c r="G23" s="3" t="s">
        <v>22</v>
      </c>
      <c r="H23" s="3" t="s">
        <v>51</v>
      </c>
      <c r="I23" s="5" t="s">
        <v>291</v>
      </c>
      <c r="K23" s="3">
        <v>393</v>
      </c>
      <c r="L23" s="4">
        <v>44604</v>
      </c>
      <c r="N23" s="3">
        <v>90</v>
      </c>
      <c r="O23" s="4">
        <f>D23+N23</f>
        <v>44683</v>
      </c>
      <c r="P23" s="3">
        <f>O23-L23</f>
        <v>79</v>
      </c>
    </row>
    <row r="24" spans="1:16" x14ac:dyDescent="0.25">
      <c r="A24" s="3" t="s">
        <v>234</v>
      </c>
      <c r="B24" s="3" t="s">
        <v>28</v>
      </c>
      <c r="C24" s="3" t="s">
        <v>157</v>
      </c>
      <c r="D24" s="4">
        <v>44593</v>
      </c>
      <c r="E24" s="3" t="s">
        <v>16</v>
      </c>
      <c r="F24" s="3" t="s">
        <v>18</v>
      </c>
      <c r="G24" s="3" t="s">
        <v>22</v>
      </c>
      <c r="H24" s="3" t="s">
        <v>51</v>
      </c>
      <c r="I24" s="5" t="s">
        <v>288</v>
      </c>
      <c r="K24" s="3">
        <v>734.98</v>
      </c>
      <c r="L24" s="4">
        <v>44604</v>
      </c>
      <c r="N24" s="3">
        <v>90</v>
      </c>
      <c r="O24" s="4">
        <f>D24+N24</f>
        <v>44683</v>
      </c>
      <c r="P24" s="3">
        <f>O24-L24</f>
        <v>79</v>
      </c>
    </row>
    <row r="25" spans="1:16" x14ac:dyDescent="0.25">
      <c r="A25" s="3" t="s">
        <v>235</v>
      </c>
      <c r="B25" s="3" t="s">
        <v>27</v>
      </c>
      <c r="C25" s="3" t="s">
        <v>158</v>
      </c>
      <c r="D25" s="4">
        <v>44592</v>
      </c>
      <c r="E25" s="3" t="s">
        <v>15</v>
      </c>
      <c r="F25" s="3" t="s">
        <v>17</v>
      </c>
      <c r="G25" s="3" t="s">
        <v>21</v>
      </c>
      <c r="H25" s="3" t="s">
        <v>52</v>
      </c>
      <c r="I25" s="3" t="s">
        <v>29</v>
      </c>
      <c r="J25" s="4">
        <v>44602</v>
      </c>
      <c r="K25" s="3">
        <v>32.24</v>
      </c>
      <c r="L25" s="4">
        <v>44604</v>
      </c>
      <c r="N25" s="3">
        <v>90</v>
      </c>
      <c r="O25" s="4">
        <f>D25+N25</f>
        <v>44682</v>
      </c>
      <c r="P25" s="3">
        <f>O25-L25</f>
        <v>78</v>
      </c>
    </row>
    <row r="26" spans="1:16" x14ac:dyDescent="0.25">
      <c r="A26" s="3" t="s">
        <v>236</v>
      </c>
      <c r="B26" s="3" t="s">
        <v>27</v>
      </c>
      <c r="C26" s="3" t="s">
        <v>159</v>
      </c>
      <c r="D26" s="4">
        <v>44591</v>
      </c>
      <c r="E26" s="3" t="s">
        <v>53</v>
      </c>
      <c r="F26" s="3" t="s">
        <v>18</v>
      </c>
      <c r="G26" s="3" t="s">
        <v>43</v>
      </c>
      <c r="H26" s="3" t="s">
        <v>52</v>
      </c>
      <c r="I26" s="3" t="s">
        <v>37</v>
      </c>
      <c r="J26" s="4">
        <v>44603</v>
      </c>
      <c r="K26" s="3">
        <v>0</v>
      </c>
      <c r="L26" s="4">
        <v>44604</v>
      </c>
      <c r="M26" s="3" t="s">
        <v>299</v>
      </c>
      <c r="N26" s="3">
        <v>90</v>
      </c>
      <c r="O26" s="4">
        <f>D26+N26</f>
        <v>44681</v>
      </c>
      <c r="P26" s="3">
        <f>O26-L26</f>
        <v>77</v>
      </c>
    </row>
    <row r="27" spans="1:16" x14ac:dyDescent="0.25">
      <c r="A27" s="3" t="s">
        <v>237</v>
      </c>
      <c r="B27" s="3" t="s">
        <v>28</v>
      </c>
      <c r="C27" s="3" t="s">
        <v>160</v>
      </c>
      <c r="D27" s="4">
        <v>44591</v>
      </c>
      <c r="E27" s="3" t="s">
        <v>53</v>
      </c>
      <c r="F27" s="3" t="s">
        <v>18</v>
      </c>
      <c r="G27" s="3" t="s">
        <v>55</v>
      </c>
      <c r="H27" s="3" t="s">
        <v>52</v>
      </c>
      <c r="I27" s="3" t="s">
        <v>29</v>
      </c>
      <c r="J27" s="4">
        <v>44593</v>
      </c>
      <c r="K27" s="3">
        <v>320</v>
      </c>
      <c r="L27" s="4">
        <v>44604</v>
      </c>
      <c r="N27" s="3">
        <v>90</v>
      </c>
      <c r="O27" s="4">
        <f>D27+N27</f>
        <v>44681</v>
      </c>
      <c r="P27" s="3">
        <f>O27-L27</f>
        <v>77</v>
      </c>
    </row>
    <row r="28" spans="1:16" x14ac:dyDescent="0.25">
      <c r="A28" s="3" t="s">
        <v>238</v>
      </c>
      <c r="B28" s="3" t="s">
        <v>28</v>
      </c>
      <c r="C28" s="3" t="s">
        <v>161</v>
      </c>
      <c r="D28" s="4">
        <v>44590</v>
      </c>
      <c r="E28" s="3" t="s">
        <v>53</v>
      </c>
      <c r="F28" s="3" t="s">
        <v>18</v>
      </c>
      <c r="G28" s="3" t="s">
        <v>23</v>
      </c>
      <c r="H28" s="3" t="s">
        <v>52</v>
      </c>
      <c r="I28" s="3" t="s">
        <v>29</v>
      </c>
      <c r="J28" s="4">
        <v>44593</v>
      </c>
      <c r="K28" s="3">
        <v>320</v>
      </c>
      <c r="L28" s="4">
        <v>44604</v>
      </c>
      <c r="N28" s="3">
        <v>365</v>
      </c>
      <c r="O28" s="4">
        <f>D28+N28</f>
        <v>44955</v>
      </c>
      <c r="P28" s="3">
        <f>O28-L28</f>
        <v>351</v>
      </c>
    </row>
    <row r="29" spans="1:16" x14ac:dyDescent="0.25">
      <c r="A29" s="3" t="s">
        <v>239</v>
      </c>
      <c r="B29" s="3" t="s">
        <v>28</v>
      </c>
      <c r="C29" s="3" t="s">
        <v>162</v>
      </c>
      <c r="D29" s="4">
        <v>44590</v>
      </c>
      <c r="E29" s="3" t="s">
        <v>53</v>
      </c>
      <c r="F29" s="3" t="s">
        <v>18</v>
      </c>
      <c r="G29" s="3" t="s">
        <v>23</v>
      </c>
      <c r="H29" s="3" t="s">
        <v>52</v>
      </c>
      <c r="I29" s="3" t="s">
        <v>29</v>
      </c>
      <c r="J29" s="4">
        <v>44593</v>
      </c>
      <c r="K29" s="3">
        <v>315</v>
      </c>
      <c r="L29" s="4">
        <v>44604</v>
      </c>
      <c r="N29" s="3">
        <v>365</v>
      </c>
      <c r="O29" s="4">
        <f>D29+N29</f>
        <v>44955</v>
      </c>
      <c r="P29" s="3">
        <f>O29-L29</f>
        <v>351</v>
      </c>
    </row>
    <row r="30" spans="1:16" x14ac:dyDescent="0.25">
      <c r="A30" s="3" t="s">
        <v>241</v>
      </c>
      <c r="B30" s="3" t="s">
        <v>27</v>
      </c>
      <c r="C30" s="3" t="s">
        <v>164</v>
      </c>
      <c r="D30" s="4">
        <v>44589</v>
      </c>
      <c r="E30" s="3" t="s">
        <v>53</v>
      </c>
      <c r="F30" s="3" t="s">
        <v>18</v>
      </c>
      <c r="G30" s="3" t="s">
        <v>23</v>
      </c>
      <c r="H30" s="3" t="s">
        <v>51</v>
      </c>
      <c r="I30" s="3" t="s">
        <v>29</v>
      </c>
      <c r="J30" s="4">
        <v>44593</v>
      </c>
      <c r="K30" s="3">
        <v>310</v>
      </c>
      <c r="L30" s="4">
        <v>44604</v>
      </c>
      <c r="N30" s="3">
        <v>365</v>
      </c>
      <c r="O30" s="4">
        <f>D30+N30</f>
        <v>44954</v>
      </c>
      <c r="P30" s="3">
        <f>O30-L30</f>
        <v>350</v>
      </c>
    </row>
    <row r="31" spans="1:16" x14ac:dyDescent="0.25">
      <c r="A31" s="3" t="s">
        <v>242</v>
      </c>
      <c r="B31" s="3" t="s">
        <v>27</v>
      </c>
      <c r="C31" s="3" t="s">
        <v>165</v>
      </c>
      <c r="D31" s="4">
        <v>44589</v>
      </c>
      <c r="E31" s="3" t="s">
        <v>16</v>
      </c>
      <c r="F31" s="3" t="s">
        <v>18</v>
      </c>
      <c r="G31" s="3" t="s">
        <v>23</v>
      </c>
      <c r="H31" s="3" t="s">
        <v>51</v>
      </c>
      <c r="I31" s="3" t="s">
        <v>29</v>
      </c>
      <c r="J31" s="4">
        <v>44593</v>
      </c>
      <c r="K31" s="3">
        <v>305</v>
      </c>
      <c r="L31" s="4">
        <v>44604</v>
      </c>
      <c r="N31" s="3">
        <v>365</v>
      </c>
      <c r="O31" s="4">
        <f>D31+N31</f>
        <v>44954</v>
      </c>
      <c r="P31" s="3">
        <f>O31-L31</f>
        <v>350</v>
      </c>
    </row>
    <row r="32" spans="1:16" x14ac:dyDescent="0.25">
      <c r="A32" s="3" t="s">
        <v>240</v>
      </c>
      <c r="B32" s="3" t="s">
        <v>28</v>
      </c>
      <c r="C32" s="3" t="s">
        <v>163</v>
      </c>
      <c r="D32" s="4">
        <v>44589</v>
      </c>
      <c r="E32" s="3" t="s">
        <v>53</v>
      </c>
      <c r="F32" s="3" t="s">
        <v>18</v>
      </c>
      <c r="G32" s="3" t="s">
        <v>22</v>
      </c>
      <c r="H32" s="3" t="s">
        <v>52</v>
      </c>
      <c r="I32" s="3" t="s">
        <v>29</v>
      </c>
      <c r="J32" s="4">
        <v>44593</v>
      </c>
      <c r="K32" s="3">
        <v>310</v>
      </c>
      <c r="L32" s="4">
        <v>44604</v>
      </c>
      <c r="N32" s="3">
        <v>90</v>
      </c>
      <c r="O32" s="4">
        <f>D32+N32</f>
        <v>44679</v>
      </c>
      <c r="P32" s="3">
        <f>O32-L32</f>
        <v>75</v>
      </c>
    </row>
    <row r="33" spans="1:16" x14ac:dyDescent="0.25">
      <c r="A33" s="3" t="s">
        <v>243</v>
      </c>
      <c r="B33" s="3" t="s">
        <v>27</v>
      </c>
      <c r="C33" s="3" t="s">
        <v>166</v>
      </c>
      <c r="D33" s="4">
        <v>44582</v>
      </c>
      <c r="E33" s="3" t="s">
        <v>16</v>
      </c>
      <c r="F33" s="3" t="s">
        <v>18</v>
      </c>
      <c r="G33" s="3" t="s">
        <v>22</v>
      </c>
      <c r="H33" s="3" t="s">
        <v>51</v>
      </c>
      <c r="I33" s="3" t="s">
        <v>29</v>
      </c>
      <c r="J33" s="4">
        <v>44593</v>
      </c>
      <c r="K33" s="3">
        <v>304</v>
      </c>
      <c r="L33" s="4">
        <v>44604</v>
      </c>
      <c r="N33" s="3">
        <v>90</v>
      </c>
      <c r="O33" s="4">
        <f>D33+N33</f>
        <v>44672</v>
      </c>
      <c r="P33" s="3">
        <f>O33-L33</f>
        <v>68</v>
      </c>
    </row>
    <row r="34" spans="1:16" x14ac:dyDescent="0.25">
      <c r="A34" s="3" t="s">
        <v>244</v>
      </c>
      <c r="B34" s="3" t="s">
        <v>27</v>
      </c>
      <c r="C34" s="3" t="s">
        <v>167</v>
      </c>
      <c r="D34" s="4">
        <v>44582</v>
      </c>
      <c r="E34" s="3" t="s">
        <v>16</v>
      </c>
      <c r="F34" s="3" t="s">
        <v>18</v>
      </c>
      <c r="G34" s="3" t="s">
        <v>22</v>
      </c>
      <c r="H34" s="3" t="s">
        <v>51</v>
      </c>
      <c r="I34" s="3" t="s">
        <v>29</v>
      </c>
      <c r="J34" s="4">
        <v>44593</v>
      </c>
      <c r="K34" s="3">
        <v>293</v>
      </c>
      <c r="L34" s="4">
        <v>44604</v>
      </c>
      <c r="N34" s="3">
        <v>90</v>
      </c>
      <c r="O34" s="4">
        <f>D34+N34</f>
        <v>44672</v>
      </c>
      <c r="P34" s="3">
        <f>O34-L34</f>
        <v>68</v>
      </c>
    </row>
    <row r="35" spans="1:16" x14ac:dyDescent="0.25">
      <c r="A35" s="3" t="s">
        <v>247</v>
      </c>
      <c r="B35" s="3" t="s">
        <v>27</v>
      </c>
      <c r="C35" s="3" t="s">
        <v>170</v>
      </c>
      <c r="D35" s="4">
        <v>44581</v>
      </c>
      <c r="E35" s="3" t="s">
        <v>16</v>
      </c>
      <c r="F35" s="3" t="s">
        <v>18</v>
      </c>
      <c r="G35" s="3" t="s">
        <v>32</v>
      </c>
      <c r="H35" s="3" t="s">
        <v>51</v>
      </c>
      <c r="I35" s="3" t="s">
        <v>29</v>
      </c>
      <c r="J35" s="4">
        <v>44593</v>
      </c>
      <c r="K35" s="3">
        <v>290</v>
      </c>
      <c r="L35" s="4">
        <v>44604</v>
      </c>
      <c r="N35" s="3">
        <v>365</v>
      </c>
      <c r="O35" s="4">
        <f>D35+N35</f>
        <v>44946</v>
      </c>
      <c r="P35" s="3">
        <f>O35-L35</f>
        <v>342</v>
      </c>
    </row>
    <row r="36" spans="1:16" x14ac:dyDescent="0.25">
      <c r="A36" s="3" t="s">
        <v>245</v>
      </c>
      <c r="B36" s="3" t="s">
        <v>27</v>
      </c>
      <c r="C36" s="3" t="s">
        <v>168</v>
      </c>
      <c r="D36" s="4">
        <v>44581</v>
      </c>
      <c r="E36" s="3" t="s">
        <v>16</v>
      </c>
      <c r="F36" s="3" t="s">
        <v>18</v>
      </c>
      <c r="G36" s="3" t="s">
        <v>55</v>
      </c>
      <c r="H36" s="3" t="s">
        <v>52</v>
      </c>
      <c r="I36" s="3" t="s">
        <v>29</v>
      </c>
      <c r="J36" s="4">
        <v>44593</v>
      </c>
      <c r="K36" s="3">
        <v>293</v>
      </c>
      <c r="L36" s="4">
        <v>44604</v>
      </c>
      <c r="N36" s="3">
        <v>90</v>
      </c>
      <c r="O36" s="4">
        <f>D36+N36</f>
        <v>44671</v>
      </c>
      <c r="P36" s="3">
        <f>O36-L36</f>
        <v>67</v>
      </c>
    </row>
    <row r="37" spans="1:16" x14ac:dyDescent="0.25">
      <c r="A37" s="3" t="s">
        <v>246</v>
      </c>
      <c r="B37" s="3" t="s">
        <v>27</v>
      </c>
      <c r="C37" s="3" t="s">
        <v>169</v>
      </c>
      <c r="D37" s="4">
        <v>44581</v>
      </c>
      <c r="E37" s="3" t="s">
        <v>16</v>
      </c>
      <c r="F37" s="3" t="s">
        <v>18</v>
      </c>
      <c r="G37" s="3" t="s">
        <v>23</v>
      </c>
      <c r="H37" s="3" t="s">
        <v>51</v>
      </c>
      <c r="I37" s="3" t="s">
        <v>29</v>
      </c>
      <c r="J37" s="4">
        <v>44593</v>
      </c>
      <c r="K37" s="3">
        <v>293</v>
      </c>
      <c r="L37" s="4">
        <v>44604</v>
      </c>
      <c r="N37" s="3">
        <v>365</v>
      </c>
      <c r="O37" s="4">
        <f>D37+N37</f>
        <v>44946</v>
      </c>
      <c r="P37" s="3">
        <f>O37-L37</f>
        <v>342</v>
      </c>
    </row>
    <row r="38" spans="1:16" x14ac:dyDescent="0.25">
      <c r="A38" s="3" t="s">
        <v>248</v>
      </c>
      <c r="B38" s="3" t="s">
        <v>27</v>
      </c>
      <c r="C38" s="3" t="s">
        <v>171</v>
      </c>
      <c r="D38" s="4">
        <v>44569</v>
      </c>
      <c r="E38" s="3" t="s">
        <v>16</v>
      </c>
      <c r="F38" s="3" t="s">
        <v>18</v>
      </c>
      <c r="G38" s="3" t="s">
        <v>22</v>
      </c>
      <c r="H38" s="3" t="s">
        <v>51</v>
      </c>
      <c r="I38" s="3" t="s">
        <v>29</v>
      </c>
      <c r="J38" s="4">
        <v>44593</v>
      </c>
      <c r="K38" s="3">
        <v>289.5</v>
      </c>
      <c r="L38" s="4">
        <v>44604</v>
      </c>
      <c r="N38" s="3">
        <v>90</v>
      </c>
      <c r="O38" s="4">
        <f>D38+N38</f>
        <v>44659</v>
      </c>
      <c r="P38" s="3">
        <f>O38-L38</f>
        <v>55</v>
      </c>
    </row>
    <row r="39" spans="1:16" x14ac:dyDescent="0.25">
      <c r="A39" s="3" t="s">
        <v>249</v>
      </c>
      <c r="B39" s="3" t="s">
        <v>27</v>
      </c>
      <c r="C39" s="3" t="s">
        <v>172</v>
      </c>
      <c r="D39" s="4">
        <v>44568</v>
      </c>
      <c r="E39" s="3" t="s">
        <v>16</v>
      </c>
      <c r="F39" s="3" t="s">
        <v>18</v>
      </c>
      <c r="G39" s="3" t="s">
        <v>55</v>
      </c>
      <c r="H39" s="3" t="s">
        <v>52</v>
      </c>
      <c r="I39" s="5" t="s">
        <v>292</v>
      </c>
      <c r="J39" s="4">
        <v>44217</v>
      </c>
      <c r="K39" s="3">
        <v>289.5</v>
      </c>
      <c r="L39" s="4">
        <v>44604</v>
      </c>
      <c r="M39" s="3" t="s">
        <v>297</v>
      </c>
      <c r="N39" s="3">
        <v>90</v>
      </c>
      <c r="O39" s="4">
        <f>D39+N39</f>
        <v>44658</v>
      </c>
      <c r="P39" s="3">
        <f>O39-L39</f>
        <v>54</v>
      </c>
    </row>
    <row r="40" spans="1:16" x14ac:dyDescent="0.25">
      <c r="A40" s="3" t="s">
        <v>251</v>
      </c>
      <c r="B40" s="3" t="s">
        <v>27</v>
      </c>
      <c r="C40" s="3" t="s">
        <v>174</v>
      </c>
      <c r="D40" s="4">
        <v>44561</v>
      </c>
      <c r="E40" s="3" t="s">
        <v>16</v>
      </c>
      <c r="F40" s="3" t="s">
        <v>18</v>
      </c>
      <c r="G40" s="3" t="s">
        <v>23</v>
      </c>
      <c r="H40" s="3" t="s">
        <v>51</v>
      </c>
      <c r="I40" s="3" t="s">
        <v>29</v>
      </c>
      <c r="J40" s="4">
        <v>44579</v>
      </c>
      <c r="K40" s="3">
        <v>289.5</v>
      </c>
      <c r="L40" s="4">
        <v>44604</v>
      </c>
      <c r="N40" s="3">
        <v>365</v>
      </c>
      <c r="O40" s="4">
        <f>D40+N40</f>
        <v>44926</v>
      </c>
      <c r="P40" s="3">
        <f>O40-L40</f>
        <v>322</v>
      </c>
    </row>
    <row r="41" spans="1:16" x14ac:dyDescent="0.25">
      <c r="A41" s="3" t="s">
        <v>252</v>
      </c>
      <c r="B41" s="3" t="s">
        <v>27</v>
      </c>
      <c r="C41" s="3" t="s">
        <v>175</v>
      </c>
      <c r="D41" s="4">
        <v>44561</v>
      </c>
      <c r="E41" s="3" t="s">
        <v>16</v>
      </c>
      <c r="F41" s="3" t="s">
        <v>18</v>
      </c>
      <c r="G41" s="3" t="s">
        <v>23</v>
      </c>
      <c r="H41" s="3" t="s">
        <v>51</v>
      </c>
      <c r="I41" s="3" t="s">
        <v>29</v>
      </c>
      <c r="J41" s="4">
        <v>44579</v>
      </c>
      <c r="K41" s="3">
        <v>289.5</v>
      </c>
      <c r="L41" s="4">
        <v>44604</v>
      </c>
      <c r="N41" s="3">
        <v>365</v>
      </c>
      <c r="O41" s="4">
        <f>D41+N41</f>
        <v>44926</v>
      </c>
      <c r="P41" s="3">
        <f>O41-L41</f>
        <v>322</v>
      </c>
    </row>
    <row r="42" spans="1:16" x14ac:dyDescent="0.25">
      <c r="A42" s="3" t="s">
        <v>250</v>
      </c>
      <c r="B42" s="3" t="s">
        <v>27</v>
      </c>
      <c r="C42" s="3" t="s">
        <v>173</v>
      </c>
      <c r="D42" s="4">
        <v>44561</v>
      </c>
      <c r="E42" s="3" t="s">
        <v>16</v>
      </c>
      <c r="F42" s="3" t="s">
        <v>18</v>
      </c>
      <c r="G42" s="3" t="s">
        <v>22</v>
      </c>
      <c r="H42" s="3" t="s">
        <v>51</v>
      </c>
      <c r="I42" s="3" t="s">
        <v>29</v>
      </c>
      <c r="J42" s="4">
        <v>44579</v>
      </c>
      <c r="K42" s="3">
        <v>289.5</v>
      </c>
      <c r="L42" s="4">
        <v>44604</v>
      </c>
      <c r="N42" s="3">
        <v>90</v>
      </c>
      <c r="O42" s="4">
        <f>D42+N42</f>
        <v>44651</v>
      </c>
      <c r="P42" s="3">
        <f>O42-L42</f>
        <v>47</v>
      </c>
    </row>
    <row r="43" spans="1:16" x14ac:dyDescent="0.25">
      <c r="A43" s="3" t="s">
        <v>253</v>
      </c>
      <c r="B43" s="3" t="s">
        <v>27</v>
      </c>
      <c r="C43" s="3" t="s">
        <v>176</v>
      </c>
      <c r="D43" s="4">
        <v>44561</v>
      </c>
      <c r="E43" s="3" t="s">
        <v>16</v>
      </c>
      <c r="F43" s="3" t="s">
        <v>18</v>
      </c>
      <c r="G43" s="3" t="s">
        <v>22</v>
      </c>
      <c r="H43" s="3" t="s">
        <v>51</v>
      </c>
      <c r="I43" s="3" t="s">
        <v>29</v>
      </c>
      <c r="J43" s="4">
        <v>44579</v>
      </c>
      <c r="K43" s="3">
        <v>289.5</v>
      </c>
      <c r="L43" s="4">
        <v>44604</v>
      </c>
      <c r="N43" s="3">
        <v>90</v>
      </c>
      <c r="O43" s="4">
        <f>D43+N43</f>
        <v>44651</v>
      </c>
      <c r="P43" s="3">
        <f>O43-L43</f>
        <v>47</v>
      </c>
    </row>
    <row r="44" spans="1:16" x14ac:dyDescent="0.25">
      <c r="A44" s="3" t="s">
        <v>254</v>
      </c>
      <c r="B44" s="3" t="s">
        <v>27</v>
      </c>
      <c r="C44" s="3" t="s">
        <v>177</v>
      </c>
      <c r="D44" s="4">
        <v>44561</v>
      </c>
      <c r="E44" s="3" t="s">
        <v>16</v>
      </c>
      <c r="F44" s="3" t="s">
        <v>18</v>
      </c>
      <c r="G44" s="3" t="s">
        <v>22</v>
      </c>
      <c r="H44" s="3" t="s">
        <v>51</v>
      </c>
      <c r="I44" s="3" t="s">
        <v>29</v>
      </c>
      <c r="J44" s="4">
        <v>44579</v>
      </c>
      <c r="K44" s="3">
        <v>289.5</v>
      </c>
      <c r="L44" s="4">
        <v>44604</v>
      </c>
      <c r="N44" s="3">
        <v>90</v>
      </c>
      <c r="O44" s="4">
        <f>D44+N44</f>
        <v>44651</v>
      </c>
      <c r="P44" s="3">
        <f>O44-L44</f>
        <v>47</v>
      </c>
    </row>
    <row r="45" spans="1:16" x14ac:dyDescent="0.25">
      <c r="A45" s="3" t="s">
        <v>256</v>
      </c>
      <c r="B45" s="3" t="s">
        <v>27</v>
      </c>
      <c r="C45" s="3" t="s">
        <v>179</v>
      </c>
      <c r="D45" s="4">
        <v>44557</v>
      </c>
      <c r="E45" s="3" t="s">
        <v>16</v>
      </c>
      <c r="F45" s="3" t="s">
        <v>18</v>
      </c>
      <c r="G45" s="3" t="s">
        <v>23</v>
      </c>
      <c r="H45" s="3" t="s">
        <v>51</v>
      </c>
      <c r="I45" s="3" t="s">
        <v>29</v>
      </c>
      <c r="J45" s="4">
        <v>44579</v>
      </c>
      <c r="K45" s="3">
        <v>196.5</v>
      </c>
      <c r="L45" s="4">
        <v>44604</v>
      </c>
      <c r="N45" s="3">
        <v>365</v>
      </c>
      <c r="O45" s="4">
        <f>D45+N45</f>
        <v>44922</v>
      </c>
      <c r="P45" s="3">
        <f>O45-L45</f>
        <v>318</v>
      </c>
    </row>
    <row r="46" spans="1:16" x14ac:dyDescent="0.25">
      <c r="A46" s="3" t="s">
        <v>255</v>
      </c>
      <c r="B46" s="3" t="s">
        <v>27</v>
      </c>
      <c r="C46" s="3" t="s">
        <v>178</v>
      </c>
      <c r="D46" s="4">
        <v>44557</v>
      </c>
      <c r="E46" s="3" t="s">
        <v>16</v>
      </c>
      <c r="F46" s="3" t="s">
        <v>18</v>
      </c>
      <c r="G46" s="3" t="s">
        <v>22</v>
      </c>
      <c r="H46" s="3" t="s">
        <v>51</v>
      </c>
      <c r="I46" s="3" t="s">
        <v>29</v>
      </c>
      <c r="J46" s="4">
        <v>44579</v>
      </c>
      <c r="K46" s="3">
        <v>196.5</v>
      </c>
      <c r="L46" s="4">
        <v>44604</v>
      </c>
      <c r="N46" s="3">
        <v>90</v>
      </c>
      <c r="O46" s="4">
        <f>D46+N46</f>
        <v>44647</v>
      </c>
      <c r="P46" s="3">
        <f>O46-L46</f>
        <v>43</v>
      </c>
    </row>
    <row r="47" spans="1:16" x14ac:dyDescent="0.25">
      <c r="A47" s="3" t="s">
        <v>257</v>
      </c>
      <c r="B47" s="3" t="s">
        <v>27</v>
      </c>
      <c r="C47" s="3" t="s">
        <v>180</v>
      </c>
      <c r="D47" s="4">
        <v>44556</v>
      </c>
      <c r="E47" s="3" t="s">
        <v>16</v>
      </c>
      <c r="F47" s="3" t="s">
        <v>18</v>
      </c>
      <c r="G47" s="3" t="s">
        <v>23</v>
      </c>
      <c r="H47" s="3" t="s">
        <v>51</v>
      </c>
      <c r="I47" s="3" t="s">
        <v>29</v>
      </c>
      <c r="J47" s="4">
        <v>44579</v>
      </c>
      <c r="K47" s="3">
        <v>196.5</v>
      </c>
      <c r="L47" s="4">
        <v>44604</v>
      </c>
      <c r="N47" s="3">
        <v>365</v>
      </c>
      <c r="O47" s="4">
        <f>D47+N47</f>
        <v>44921</v>
      </c>
      <c r="P47" s="3">
        <f>O47-L47</f>
        <v>317</v>
      </c>
    </row>
    <row r="48" spans="1:16" x14ac:dyDescent="0.25">
      <c r="A48" s="3" t="s">
        <v>258</v>
      </c>
      <c r="B48" s="3" t="s">
        <v>27</v>
      </c>
      <c r="C48" s="3" t="s">
        <v>181</v>
      </c>
      <c r="D48" s="4">
        <v>44556</v>
      </c>
      <c r="E48" s="3" t="s">
        <v>16</v>
      </c>
      <c r="F48" s="3" t="s">
        <v>18</v>
      </c>
      <c r="G48" s="3" t="s">
        <v>33</v>
      </c>
      <c r="H48" s="3" t="s">
        <v>52</v>
      </c>
      <c r="I48" s="5" t="s">
        <v>292</v>
      </c>
      <c r="J48" s="4">
        <v>44582</v>
      </c>
      <c r="K48" s="3">
        <v>196.5</v>
      </c>
      <c r="L48" s="4">
        <v>44604</v>
      </c>
      <c r="M48" s="3" t="s">
        <v>298</v>
      </c>
      <c r="N48" s="3">
        <v>90</v>
      </c>
      <c r="O48" s="4">
        <f>D48+N48</f>
        <v>44646</v>
      </c>
      <c r="P48" s="3">
        <f>O48-L48</f>
        <v>42</v>
      </c>
    </row>
    <row r="49" spans="1:16" x14ac:dyDescent="0.25">
      <c r="A49" s="3" t="s">
        <v>263</v>
      </c>
      <c r="B49" s="3" t="s">
        <v>27</v>
      </c>
      <c r="C49" s="3" t="s">
        <v>186</v>
      </c>
      <c r="D49" s="4">
        <v>44555</v>
      </c>
      <c r="E49" s="3" t="s">
        <v>16</v>
      </c>
      <c r="F49" s="3" t="s">
        <v>18</v>
      </c>
      <c r="G49" s="3" t="s">
        <v>21</v>
      </c>
      <c r="H49" s="3" t="s">
        <v>51</v>
      </c>
      <c r="I49" s="3" t="s">
        <v>29</v>
      </c>
      <c r="J49" s="4">
        <v>44579</v>
      </c>
      <c r="K49" s="3">
        <v>192.89</v>
      </c>
      <c r="L49" s="4">
        <v>44604</v>
      </c>
      <c r="N49" s="3">
        <v>90</v>
      </c>
      <c r="O49" s="4">
        <f>D49+N49</f>
        <v>44645</v>
      </c>
      <c r="P49" s="3">
        <f>O49-L49</f>
        <v>41</v>
      </c>
    </row>
    <row r="50" spans="1:16" x14ac:dyDescent="0.25">
      <c r="A50" s="3" t="s">
        <v>264</v>
      </c>
      <c r="B50" s="3" t="s">
        <v>27</v>
      </c>
      <c r="C50" s="3" t="s">
        <v>187</v>
      </c>
      <c r="D50" s="4">
        <v>44555</v>
      </c>
      <c r="E50" s="3" t="s">
        <v>53</v>
      </c>
      <c r="F50" s="3" t="s">
        <v>18</v>
      </c>
      <c r="G50" s="3" t="s">
        <v>21</v>
      </c>
      <c r="H50" s="3" t="s">
        <v>51</v>
      </c>
      <c r="I50" s="3" t="s">
        <v>39</v>
      </c>
      <c r="J50" s="4">
        <v>44558</v>
      </c>
      <c r="K50" s="3">
        <v>-191.5</v>
      </c>
      <c r="L50" s="4">
        <v>44604</v>
      </c>
      <c r="N50" s="3">
        <v>90</v>
      </c>
      <c r="O50" s="4">
        <f>D50+N50</f>
        <v>44645</v>
      </c>
      <c r="P50" s="3">
        <f>O50-L50</f>
        <v>41</v>
      </c>
    </row>
    <row r="51" spans="1:16" x14ac:dyDescent="0.25">
      <c r="A51" s="3" t="s">
        <v>260</v>
      </c>
      <c r="B51" s="3" t="s">
        <v>27</v>
      </c>
      <c r="C51" s="3" t="s">
        <v>183</v>
      </c>
      <c r="D51" s="4">
        <v>44555</v>
      </c>
      <c r="E51" s="3" t="s">
        <v>16</v>
      </c>
      <c r="F51" s="3" t="s">
        <v>18</v>
      </c>
      <c r="G51" s="3" t="s">
        <v>32</v>
      </c>
      <c r="H51" s="3" t="s">
        <v>51</v>
      </c>
      <c r="I51" s="3" t="s">
        <v>29</v>
      </c>
      <c r="J51" s="4">
        <v>44579</v>
      </c>
      <c r="K51" s="3">
        <v>196.5</v>
      </c>
      <c r="L51" s="4">
        <v>44604</v>
      </c>
      <c r="N51" s="3">
        <v>365</v>
      </c>
      <c r="O51" s="4">
        <f>D51+N51</f>
        <v>44920</v>
      </c>
      <c r="P51" s="3">
        <f>O51-L51</f>
        <v>316</v>
      </c>
    </row>
    <row r="52" spans="1:16" x14ac:dyDescent="0.25">
      <c r="A52" s="3" t="s">
        <v>261</v>
      </c>
      <c r="B52" s="3" t="s">
        <v>27</v>
      </c>
      <c r="C52" s="3" t="s">
        <v>184</v>
      </c>
      <c r="D52" s="4">
        <v>44555</v>
      </c>
      <c r="E52" s="3" t="s">
        <v>16</v>
      </c>
      <c r="F52" s="3" t="s">
        <v>18</v>
      </c>
      <c r="G52" s="3" t="s">
        <v>33</v>
      </c>
      <c r="H52" s="3" t="s">
        <v>52</v>
      </c>
      <c r="I52" s="3" t="s">
        <v>29</v>
      </c>
      <c r="J52" s="4">
        <v>44582</v>
      </c>
      <c r="K52" s="3">
        <v>196.5</v>
      </c>
      <c r="L52" s="4">
        <v>44604</v>
      </c>
      <c r="N52" s="3">
        <v>90</v>
      </c>
      <c r="O52" s="4">
        <f>D52+N52</f>
        <v>44645</v>
      </c>
      <c r="P52" s="3">
        <f>O52-L52</f>
        <v>41</v>
      </c>
    </row>
    <row r="53" spans="1:16" x14ac:dyDescent="0.25">
      <c r="A53" s="3" t="s">
        <v>259</v>
      </c>
      <c r="B53" s="3" t="s">
        <v>27</v>
      </c>
      <c r="C53" s="3" t="s">
        <v>182</v>
      </c>
      <c r="D53" s="4">
        <v>44555</v>
      </c>
      <c r="E53" s="3" t="s">
        <v>16</v>
      </c>
      <c r="F53" s="3" t="s">
        <v>18</v>
      </c>
      <c r="G53" s="3" t="s">
        <v>22</v>
      </c>
      <c r="H53" s="3" t="s">
        <v>51</v>
      </c>
      <c r="I53" s="3" t="s">
        <v>29</v>
      </c>
      <c r="J53" s="4">
        <v>44579</v>
      </c>
      <c r="K53" s="3">
        <v>196.5</v>
      </c>
      <c r="L53" s="4">
        <v>44604</v>
      </c>
      <c r="N53" s="3">
        <v>90</v>
      </c>
      <c r="O53" s="4">
        <f>D53+N53</f>
        <v>44645</v>
      </c>
      <c r="P53" s="3">
        <f>O53-L53</f>
        <v>41</v>
      </c>
    </row>
    <row r="54" spans="1:16" x14ac:dyDescent="0.25">
      <c r="A54" s="3" t="s">
        <v>262</v>
      </c>
      <c r="B54" s="3" t="s">
        <v>27</v>
      </c>
      <c r="C54" s="3" t="s">
        <v>185</v>
      </c>
      <c r="D54" s="4">
        <v>44555</v>
      </c>
      <c r="E54" s="3" t="s">
        <v>16</v>
      </c>
      <c r="F54" s="3" t="s">
        <v>18</v>
      </c>
      <c r="G54" s="3" t="s">
        <v>22</v>
      </c>
      <c r="H54" s="3" t="s">
        <v>51</v>
      </c>
      <c r="I54" s="3" t="s">
        <v>29</v>
      </c>
      <c r="J54" s="4">
        <v>44579</v>
      </c>
      <c r="K54" s="3">
        <v>196.5</v>
      </c>
      <c r="L54" s="4">
        <v>44604</v>
      </c>
      <c r="N54" s="3">
        <v>90</v>
      </c>
      <c r="O54" s="4">
        <f>D54+N54</f>
        <v>44645</v>
      </c>
      <c r="P54" s="3">
        <f>O54-L54</f>
        <v>41</v>
      </c>
    </row>
    <row r="55" spans="1:16" x14ac:dyDescent="0.25">
      <c r="A55" s="3" t="s">
        <v>265</v>
      </c>
      <c r="B55" s="3" t="s">
        <v>27</v>
      </c>
      <c r="C55" s="3" t="s">
        <v>188</v>
      </c>
      <c r="D55" s="4">
        <v>44549</v>
      </c>
      <c r="E55" s="3" t="s">
        <v>53</v>
      </c>
      <c r="F55" s="3" t="s">
        <v>18</v>
      </c>
      <c r="G55" s="3" t="s">
        <v>56</v>
      </c>
      <c r="H55" s="3" t="s">
        <v>51</v>
      </c>
      <c r="I55" s="5" t="s">
        <v>292</v>
      </c>
      <c r="J55" s="4">
        <v>44593</v>
      </c>
      <c r="K55" s="3">
        <v>188.5</v>
      </c>
      <c r="L55" s="4">
        <v>44604</v>
      </c>
      <c r="M55" s="3" t="s">
        <v>294</v>
      </c>
      <c r="N55" s="3">
        <v>95</v>
      </c>
      <c r="O55" s="4">
        <f>D55+N55</f>
        <v>44644</v>
      </c>
      <c r="P55" s="3">
        <f>O55-L55</f>
        <v>40</v>
      </c>
    </row>
    <row r="56" spans="1:16" x14ac:dyDescent="0.25">
      <c r="A56" s="3" t="s">
        <v>266</v>
      </c>
      <c r="B56" s="3" t="s">
        <v>27</v>
      </c>
      <c r="C56" s="3" t="s">
        <v>189</v>
      </c>
      <c r="D56" s="4">
        <v>44548</v>
      </c>
      <c r="E56" s="3" t="s">
        <v>53</v>
      </c>
      <c r="F56" s="3" t="s">
        <v>18</v>
      </c>
      <c r="G56" s="3" t="s">
        <v>21</v>
      </c>
      <c r="H56" s="3" t="s">
        <v>51</v>
      </c>
      <c r="I56" s="5" t="s">
        <v>292</v>
      </c>
      <c r="J56" s="4">
        <v>44593</v>
      </c>
      <c r="K56" s="3">
        <v>186.5</v>
      </c>
      <c r="L56" s="4">
        <v>44604</v>
      </c>
      <c r="M56" s="3" t="s">
        <v>295</v>
      </c>
      <c r="N56" s="3">
        <v>90</v>
      </c>
      <c r="O56" s="4">
        <f>D56+N56</f>
        <v>44638</v>
      </c>
      <c r="P56" s="3">
        <f>O56-L56</f>
        <v>34</v>
      </c>
    </row>
    <row r="57" spans="1:16" x14ac:dyDescent="0.25">
      <c r="A57" s="3" t="s">
        <v>267</v>
      </c>
      <c r="B57" s="3" t="s">
        <v>27</v>
      </c>
      <c r="C57" s="3" t="s">
        <v>190</v>
      </c>
      <c r="D57" s="4">
        <v>44538</v>
      </c>
      <c r="E57" s="3" t="s">
        <v>15</v>
      </c>
      <c r="F57" s="3" t="s">
        <v>17</v>
      </c>
      <c r="G57" s="3" t="s">
        <v>22</v>
      </c>
      <c r="H57" s="3" t="s">
        <v>51</v>
      </c>
      <c r="I57" s="3" t="s">
        <v>38</v>
      </c>
      <c r="J57" s="4">
        <v>44541</v>
      </c>
      <c r="K57" s="3">
        <v>-186.5</v>
      </c>
      <c r="L57" s="4">
        <v>44604</v>
      </c>
      <c r="N57" s="3">
        <v>90</v>
      </c>
      <c r="O57" s="4">
        <f>D57+N57</f>
        <v>44628</v>
      </c>
      <c r="P57" s="3">
        <f>O57-L57</f>
        <v>24</v>
      </c>
    </row>
    <row r="58" spans="1:16" x14ac:dyDescent="0.25">
      <c r="A58" s="3" t="s">
        <v>268</v>
      </c>
      <c r="B58" s="3" t="s">
        <v>27</v>
      </c>
      <c r="C58" s="3" t="s">
        <v>191</v>
      </c>
      <c r="D58" s="4">
        <v>44527</v>
      </c>
      <c r="E58" s="3" t="s">
        <v>15</v>
      </c>
      <c r="F58" s="3" t="s">
        <v>17</v>
      </c>
      <c r="G58" s="3" t="s">
        <v>19</v>
      </c>
      <c r="H58" s="3" t="s">
        <v>19</v>
      </c>
      <c r="I58" s="3" t="s">
        <v>29</v>
      </c>
      <c r="J58" s="4">
        <v>44592</v>
      </c>
      <c r="K58" s="3">
        <v>186.5</v>
      </c>
      <c r="L58" s="4">
        <v>44604</v>
      </c>
      <c r="N58" s="3">
        <v>0</v>
      </c>
      <c r="O58" s="4">
        <f>D58+N58</f>
        <v>44527</v>
      </c>
    </row>
    <row r="59" spans="1:16" x14ac:dyDescent="0.25">
      <c r="A59" s="3" t="s">
        <v>269</v>
      </c>
      <c r="B59" s="3" t="s">
        <v>27</v>
      </c>
      <c r="C59" s="3" t="s">
        <v>192</v>
      </c>
      <c r="D59" s="4">
        <v>44520</v>
      </c>
      <c r="E59" s="3" t="s">
        <v>15</v>
      </c>
      <c r="F59" s="3" t="s">
        <v>17</v>
      </c>
      <c r="G59" s="3" t="s">
        <v>19</v>
      </c>
      <c r="H59" s="3" t="s">
        <v>19</v>
      </c>
      <c r="I59" s="3" t="s">
        <v>29</v>
      </c>
      <c r="J59" s="4">
        <v>44592</v>
      </c>
      <c r="K59" s="3">
        <v>185</v>
      </c>
      <c r="L59" s="4">
        <v>44604</v>
      </c>
      <c r="N59" s="3">
        <v>0</v>
      </c>
      <c r="O59" s="4">
        <f>D59+N59</f>
        <v>44520</v>
      </c>
    </row>
    <row r="60" spans="1:16" x14ac:dyDescent="0.25">
      <c r="A60" s="3" t="s">
        <v>270</v>
      </c>
      <c r="B60" s="3" t="s">
        <v>27</v>
      </c>
      <c r="C60" s="3" t="s">
        <v>193</v>
      </c>
      <c r="D60" s="4">
        <v>44520</v>
      </c>
      <c r="E60" s="3" t="s">
        <v>15</v>
      </c>
      <c r="F60" s="3" t="s">
        <v>17</v>
      </c>
      <c r="G60" s="3" t="s">
        <v>19</v>
      </c>
      <c r="H60" s="3" t="s">
        <v>19</v>
      </c>
      <c r="I60" s="3" t="s">
        <v>29</v>
      </c>
      <c r="J60" s="4">
        <v>44592</v>
      </c>
      <c r="K60" s="3">
        <v>181.5</v>
      </c>
      <c r="L60" s="4">
        <v>44604</v>
      </c>
      <c r="N60" s="3">
        <v>0</v>
      </c>
      <c r="O60" s="4">
        <f>D60+N60</f>
        <v>44520</v>
      </c>
    </row>
    <row r="61" spans="1:16" x14ac:dyDescent="0.25">
      <c r="A61" s="3" t="s">
        <v>271</v>
      </c>
      <c r="B61" s="3" t="s">
        <v>27</v>
      </c>
      <c r="C61" s="3" t="s">
        <v>194</v>
      </c>
      <c r="D61" s="4">
        <v>44519</v>
      </c>
      <c r="E61" s="3" t="s">
        <v>15</v>
      </c>
      <c r="F61" s="3" t="s">
        <v>17</v>
      </c>
      <c r="G61" s="3" t="s">
        <v>23</v>
      </c>
      <c r="H61" s="3" t="s">
        <v>52</v>
      </c>
      <c r="I61" s="5" t="s">
        <v>292</v>
      </c>
      <c r="J61" s="4">
        <v>44589</v>
      </c>
      <c r="K61" s="3">
        <v>132</v>
      </c>
      <c r="L61" s="4">
        <v>44604</v>
      </c>
      <c r="M61" s="3" t="s">
        <v>296</v>
      </c>
      <c r="N61" s="3">
        <v>365</v>
      </c>
      <c r="O61" s="4">
        <f>D61+N61</f>
        <v>44884</v>
      </c>
      <c r="P61" s="3">
        <f>O61-L61</f>
        <v>280</v>
      </c>
    </row>
    <row r="62" spans="1:16" x14ac:dyDescent="0.25">
      <c r="A62" s="3" t="s">
        <v>272</v>
      </c>
      <c r="B62" s="3" t="s">
        <v>27</v>
      </c>
      <c r="C62" s="3" t="s">
        <v>195</v>
      </c>
      <c r="D62" s="4">
        <v>44519</v>
      </c>
      <c r="E62" s="3" t="s">
        <v>15</v>
      </c>
      <c r="F62" s="3" t="s">
        <v>17</v>
      </c>
      <c r="G62" s="3" t="s">
        <v>23</v>
      </c>
      <c r="H62" s="3" t="s">
        <v>51</v>
      </c>
      <c r="I62" s="3" t="s">
        <v>37</v>
      </c>
      <c r="J62" s="4">
        <v>44589</v>
      </c>
      <c r="K62" s="3">
        <v>132</v>
      </c>
      <c r="L62" s="4">
        <v>44604</v>
      </c>
      <c r="M62" s="3" t="s">
        <v>300</v>
      </c>
      <c r="N62" s="3">
        <v>365</v>
      </c>
      <c r="O62" s="4">
        <f>D62+N62</f>
        <v>44884</v>
      </c>
      <c r="P62" s="3">
        <f>O62-L62</f>
        <v>280</v>
      </c>
    </row>
    <row r="63" spans="1:16" x14ac:dyDescent="0.25">
      <c r="A63" s="3" t="s">
        <v>273</v>
      </c>
      <c r="B63" s="3" t="s">
        <v>27</v>
      </c>
      <c r="C63" s="3" t="s">
        <v>196</v>
      </c>
      <c r="D63" s="4">
        <v>44519</v>
      </c>
      <c r="E63" s="3" t="s">
        <v>15</v>
      </c>
      <c r="F63" s="3" t="s">
        <v>17</v>
      </c>
      <c r="G63" s="3" t="s">
        <v>23</v>
      </c>
      <c r="H63" s="3" t="s">
        <v>52</v>
      </c>
      <c r="I63" s="5" t="s">
        <v>292</v>
      </c>
      <c r="J63" s="4">
        <v>44589</v>
      </c>
      <c r="K63" s="3">
        <v>132</v>
      </c>
      <c r="L63" s="4">
        <v>44604</v>
      </c>
      <c r="M63" s="3" t="s">
        <v>296</v>
      </c>
      <c r="N63" s="3">
        <v>365</v>
      </c>
      <c r="O63" s="4">
        <f>D63+N63</f>
        <v>44884</v>
      </c>
      <c r="P63" s="3">
        <f>O63-L63</f>
        <v>280</v>
      </c>
    </row>
    <row r="64" spans="1:16" x14ac:dyDescent="0.25">
      <c r="A64" s="3" t="s">
        <v>274</v>
      </c>
      <c r="B64" s="3" t="s">
        <v>27</v>
      </c>
      <c r="C64" s="3" t="s">
        <v>197</v>
      </c>
      <c r="D64" s="4">
        <v>44499</v>
      </c>
      <c r="E64" s="3" t="s">
        <v>15</v>
      </c>
      <c r="F64" s="3" t="s">
        <v>17</v>
      </c>
      <c r="G64" s="3" t="s">
        <v>32</v>
      </c>
      <c r="H64" s="3" t="s">
        <v>51</v>
      </c>
      <c r="I64" s="5" t="s">
        <v>293</v>
      </c>
      <c r="J64" s="4">
        <v>44589</v>
      </c>
      <c r="K64" s="3">
        <v>131.63999999999999</v>
      </c>
      <c r="L64" s="4">
        <v>44604</v>
      </c>
      <c r="N64" s="3">
        <v>365</v>
      </c>
      <c r="O64" s="4">
        <f>D64+N64</f>
        <v>44864</v>
      </c>
      <c r="P64" s="3">
        <f>O64-L64</f>
        <v>260</v>
      </c>
    </row>
    <row r="65" spans="1:16" x14ac:dyDescent="0.25">
      <c r="A65" s="3" t="s">
        <v>276</v>
      </c>
      <c r="B65" s="3" t="s">
        <v>27</v>
      </c>
      <c r="C65" s="3" t="s">
        <v>199</v>
      </c>
      <c r="D65" s="4">
        <v>44499</v>
      </c>
      <c r="E65" s="3" t="s">
        <v>15</v>
      </c>
      <c r="F65" s="3" t="s">
        <v>17</v>
      </c>
      <c r="G65" s="3" t="s">
        <v>57</v>
      </c>
      <c r="H65" s="3" t="s">
        <v>52</v>
      </c>
      <c r="I65" s="5" t="s">
        <v>292</v>
      </c>
      <c r="J65" s="4">
        <v>44589</v>
      </c>
      <c r="K65" s="3">
        <v>130</v>
      </c>
      <c r="L65" s="4">
        <v>44604</v>
      </c>
      <c r="M65" s="3" t="s">
        <v>296</v>
      </c>
      <c r="N65" s="3">
        <v>95</v>
      </c>
      <c r="O65" s="4">
        <f>D65+N65</f>
        <v>44594</v>
      </c>
      <c r="P65" s="3">
        <f>O65-L65</f>
        <v>-10</v>
      </c>
    </row>
    <row r="66" spans="1:16" x14ac:dyDescent="0.25">
      <c r="A66" s="3" t="s">
        <v>275</v>
      </c>
      <c r="B66" s="3" t="s">
        <v>27</v>
      </c>
      <c r="C66" s="3" t="s">
        <v>198</v>
      </c>
      <c r="D66" s="4">
        <v>44499</v>
      </c>
      <c r="E66" s="3" t="s">
        <v>15</v>
      </c>
      <c r="F66" s="3" t="s">
        <v>17</v>
      </c>
      <c r="G66" s="3" t="s">
        <v>23</v>
      </c>
      <c r="H66" s="3" t="s">
        <v>52</v>
      </c>
      <c r="I66" s="5" t="s">
        <v>292</v>
      </c>
      <c r="J66" s="4">
        <v>44589</v>
      </c>
      <c r="K66" s="3">
        <v>130</v>
      </c>
      <c r="L66" s="4">
        <v>44604</v>
      </c>
      <c r="M66" s="3" t="s">
        <v>296</v>
      </c>
      <c r="N66" s="3">
        <v>365</v>
      </c>
      <c r="O66" s="4">
        <f>D66+N66</f>
        <v>44864</v>
      </c>
      <c r="P66" s="3">
        <f>O66-L66</f>
        <v>260</v>
      </c>
    </row>
    <row r="67" spans="1:16" x14ac:dyDescent="0.25">
      <c r="A67" s="3" t="s">
        <v>277</v>
      </c>
      <c r="B67" s="3" t="s">
        <v>27</v>
      </c>
      <c r="C67" s="3" t="s">
        <v>200</v>
      </c>
      <c r="D67" s="4">
        <v>44499</v>
      </c>
      <c r="E67" s="3" t="s">
        <v>15</v>
      </c>
      <c r="F67" s="3" t="s">
        <v>17</v>
      </c>
      <c r="G67" s="3" t="s">
        <v>19</v>
      </c>
      <c r="H67" s="3" t="s">
        <v>19</v>
      </c>
      <c r="I67" s="3" t="s">
        <v>29</v>
      </c>
      <c r="J67" s="4">
        <v>44592</v>
      </c>
      <c r="K67" s="3">
        <v>130</v>
      </c>
      <c r="L67" s="4">
        <v>44604</v>
      </c>
      <c r="N67" s="3">
        <v>0</v>
      </c>
      <c r="O67" s="4">
        <f>D67+N67</f>
        <v>44499</v>
      </c>
    </row>
    <row r="68" spans="1:16" x14ac:dyDescent="0.25">
      <c r="A68" s="3" t="s">
        <v>278</v>
      </c>
      <c r="B68" s="3" t="s">
        <v>27</v>
      </c>
      <c r="C68" s="3" t="s">
        <v>201</v>
      </c>
      <c r="D68" s="4">
        <v>44499</v>
      </c>
      <c r="E68" s="3" t="s">
        <v>15</v>
      </c>
      <c r="F68" s="3" t="s">
        <v>17</v>
      </c>
      <c r="G68" s="3" t="s">
        <v>19</v>
      </c>
      <c r="H68" s="3" t="s">
        <v>19</v>
      </c>
      <c r="I68" s="3" t="s">
        <v>29</v>
      </c>
      <c r="J68" s="4">
        <v>44592</v>
      </c>
      <c r="K68" s="3">
        <v>130</v>
      </c>
      <c r="L68" s="4">
        <v>44604</v>
      </c>
      <c r="N68" s="3">
        <v>0</v>
      </c>
      <c r="O68" s="4">
        <f>D68+N68</f>
        <v>44499</v>
      </c>
    </row>
    <row r="69" spans="1:16" x14ac:dyDescent="0.25">
      <c r="A69" s="3" t="s">
        <v>279</v>
      </c>
      <c r="B69" s="3" t="s">
        <v>27</v>
      </c>
      <c r="C69" s="3" t="s">
        <v>202</v>
      </c>
      <c r="D69" s="4">
        <v>44495</v>
      </c>
      <c r="E69" s="3" t="s">
        <v>15</v>
      </c>
      <c r="F69" s="3" t="s">
        <v>17</v>
      </c>
      <c r="G69" s="3" t="s">
        <v>19</v>
      </c>
      <c r="H69" s="3" t="s">
        <v>19</v>
      </c>
      <c r="I69" s="3" t="s">
        <v>29</v>
      </c>
      <c r="J69" s="4">
        <v>44592</v>
      </c>
      <c r="K69" s="3">
        <v>130</v>
      </c>
      <c r="L69" s="4">
        <v>44604</v>
      </c>
      <c r="N69" s="3">
        <v>0</v>
      </c>
      <c r="O69" s="4">
        <f>D69+N69</f>
        <v>44495</v>
      </c>
    </row>
    <row r="70" spans="1:16" x14ac:dyDescent="0.25">
      <c r="A70" s="3" t="s">
        <v>280</v>
      </c>
      <c r="B70" s="3" t="s">
        <v>27</v>
      </c>
      <c r="C70" s="3" t="s">
        <v>203</v>
      </c>
      <c r="D70" s="4">
        <v>44495</v>
      </c>
      <c r="E70" s="3" t="s">
        <v>15</v>
      </c>
      <c r="F70" s="3" t="s">
        <v>17</v>
      </c>
      <c r="G70" s="3" t="s">
        <v>19</v>
      </c>
      <c r="H70" s="3" t="s">
        <v>19</v>
      </c>
      <c r="I70" s="3" t="s">
        <v>29</v>
      </c>
      <c r="J70" s="4">
        <v>44592</v>
      </c>
      <c r="K70" s="3">
        <v>95</v>
      </c>
      <c r="L70" s="4">
        <v>44604</v>
      </c>
      <c r="N70" s="3">
        <v>0</v>
      </c>
      <c r="O70" s="4">
        <f>D70+N70</f>
        <v>44495</v>
      </c>
    </row>
    <row r="71" spans="1:16" x14ac:dyDescent="0.25">
      <c r="A71" s="3" t="s">
        <v>281</v>
      </c>
      <c r="B71" s="3" t="s">
        <v>27</v>
      </c>
      <c r="C71" s="3" t="s">
        <v>204</v>
      </c>
      <c r="D71" s="4">
        <v>44493</v>
      </c>
      <c r="E71" s="3" t="s">
        <v>15</v>
      </c>
      <c r="F71" s="3" t="s">
        <v>17</v>
      </c>
      <c r="G71" s="3" t="s">
        <v>19</v>
      </c>
      <c r="H71" s="3" t="s">
        <v>19</v>
      </c>
      <c r="I71" s="3" t="s">
        <v>29</v>
      </c>
      <c r="J71" s="4">
        <v>44592</v>
      </c>
      <c r="K71" s="3">
        <v>90</v>
      </c>
      <c r="L71" s="4">
        <v>44604</v>
      </c>
      <c r="N71" s="3">
        <v>0</v>
      </c>
      <c r="O71" s="4">
        <f>D71+N71</f>
        <v>44493</v>
      </c>
    </row>
    <row r="72" spans="1:16" x14ac:dyDescent="0.25">
      <c r="A72" s="3" t="s">
        <v>282</v>
      </c>
      <c r="B72" s="3" t="s">
        <v>27</v>
      </c>
      <c r="C72" s="3" t="s">
        <v>205</v>
      </c>
      <c r="D72" s="4">
        <v>44493</v>
      </c>
      <c r="E72" s="3" t="s">
        <v>15</v>
      </c>
      <c r="F72" s="3" t="s">
        <v>17</v>
      </c>
      <c r="G72" s="3" t="s">
        <v>19</v>
      </c>
      <c r="H72" s="3" t="s">
        <v>19</v>
      </c>
      <c r="I72" s="3" t="s">
        <v>29</v>
      </c>
      <c r="J72" s="4">
        <v>44592</v>
      </c>
      <c r="K72" s="3">
        <v>90</v>
      </c>
      <c r="L72" s="4">
        <v>44604</v>
      </c>
      <c r="N72" s="3">
        <v>0</v>
      </c>
      <c r="O72" s="4">
        <f>D72+N72</f>
        <v>44493</v>
      </c>
    </row>
    <row r="73" spans="1:16" x14ac:dyDescent="0.25">
      <c r="A73" s="3" t="s">
        <v>283</v>
      </c>
      <c r="B73" s="3" t="s">
        <v>27</v>
      </c>
      <c r="C73" s="3" t="s">
        <v>206</v>
      </c>
      <c r="D73" s="4">
        <v>44493</v>
      </c>
      <c r="E73" s="3" t="s">
        <v>15</v>
      </c>
      <c r="F73" s="3" t="s">
        <v>17</v>
      </c>
      <c r="G73" s="3" t="s">
        <v>19</v>
      </c>
      <c r="H73" s="3" t="s">
        <v>19</v>
      </c>
      <c r="I73" s="3" t="s">
        <v>29</v>
      </c>
      <c r="J73" s="4">
        <v>44592</v>
      </c>
      <c r="K73" s="3">
        <v>86.5</v>
      </c>
      <c r="L73" s="4">
        <v>44604</v>
      </c>
      <c r="N73" s="3">
        <v>0</v>
      </c>
      <c r="O73" s="4">
        <f>D73+N73</f>
        <v>44493</v>
      </c>
    </row>
    <row r="74" spans="1:16" x14ac:dyDescent="0.25">
      <c r="A74" s="3" t="s">
        <v>284</v>
      </c>
      <c r="B74" s="3" t="s">
        <v>27</v>
      </c>
      <c r="C74" s="3" t="s">
        <v>207</v>
      </c>
      <c r="D74" s="4">
        <v>44493</v>
      </c>
      <c r="E74" s="3" t="s">
        <v>15</v>
      </c>
      <c r="F74" s="3" t="s">
        <v>17</v>
      </c>
      <c r="G74" s="3" t="s">
        <v>19</v>
      </c>
      <c r="H74" s="3" t="s">
        <v>19</v>
      </c>
      <c r="I74" s="3" t="s">
        <v>29</v>
      </c>
      <c r="J74" s="4">
        <v>44592</v>
      </c>
      <c r="K74" s="3">
        <v>85</v>
      </c>
      <c r="L74" s="4">
        <v>44604</v>
      </c>
      <c r="N74" s="3">
        <v>0</v>
      </c>
      <c r="O74" s="4">
        <f>D74+N74</f>
        <v>44493</v>
      </c>
    </row>
    <row r="75" spans="1:16" x14ac:dyDescent="0.25">
      <c r="A75" s="3" t="s">
        <v>285</v>
      </c>
      <c r="B75" s="3" t="s">
        <v>27</v>
      </c>
      <c r="C75" s="3" t="s">
        <v>208</v>
      </c>
      <c r="D75" s="4">
        <v>44493</v>
      </c>
      <c r="E75" s="3" t="s">
        <v>15</v>
      </c>
      <c r="F75" s="3" t="s">
        <v>17</v>
      </c>
      <c r="G75" s="3" t="s">
        <v>19</v>
      </c>
      <c r="H75" s="3" t="s">
        <v>19</v>
      </c>
      <c r="I75" s="3" t="s">
        <v>29</v>
      </c>
      <c r="J75" s="4">
        <v>44592</v>
      </c>
      <c r="K75" s="3">
        <v>85</v>
      </c>
      <c r="L75" s="4">
        <v>44604</v>
      </c>
      <c r="N75" s="3">
        <v>0</v>
      </c>
      <c r="O75" s="4">
        <f>D75+N75</f>
        <v>44493</v>
      </c>
    </row>
    <row r="76" spans="1:16" x14ac:dyDescent="0.25">
      <c r="A76" s="3" t="s">
        <v>286</v>
      </c>
      <c r="B76" s="3" t="s">
        <v>27</v>
      </c>
      <c r="C76" s="3" t="s">
        <v>209</v>
      </c>
      <c r="D76" s="4">
        <v>44486</v>
      </c>
      <c r="E76" s="3" t="s">
        <v>15</v>
      </c>
      <c r="F76" s="3" t="s">
        <v>17</v>
      </c>
      <c r="G76" s="3" t="s">
        <v>19</v>
      </c>
      <c r="H76" s="3" t="s">
        <v>19</v>
      </c>
      <c r="I76" s="3" t="s">
        <v>29</v>
      </c>
      <c r="J76" s="4">
        <v>44592</v>
      </c>
      <c r="K76" s="3">
        <v>85</v>
      </c>
      <c r="L76" s="4">
        <v>44604</v>
      </c>
      <c r="N76" s="3">
        <v>0</v>
      </c>
      <c r="O76" s="4">
        <f>D76+N76</f>
        <v>44486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9422-211E-4705-A720-ACC04A222201}">
  <dimension ref="A1:P76"/>
  <sheetViews>
    <sheetView zoomScale="90" zoomScaleNormal="90" workbookViewId="0">
      <selection activeCell="C7" sqref="C7"/>
    </sheetView>
  </sheetViews>
  <sheetFormatPr defaultRowHeight="15" x14ac:dyDescent="0.25"/>
  <cols>
    <col min="1" max="1" width="6.7109375" bestFit="1" customWidth="1"/>
    <col min="2" max="2" width="4.140625" bestFit="1" customWidth="1"/>
    <col min="3" max="3" width="6.42578125" bestFit="1" customWidth="1"/>
    <col min="4" max="4" width="6.42578125" customWidth="1"/>
    <col min="5" max="5" width="13.140625" bestFit="1" customWidth="1"/>
    <col min="6" max="6" width="5.7109375" bestFit="1" customWidth="1"/>
    <col min="7" max="7" width="12.42578125" bestFit="1" customWidth="1"/>
    <col min="8" max="8" width="11.5703125" style="2" bestFit="1" customWidth="1"/>
    <col min="9" max="9" width="11.5703125" bestFit="1" customWidth="1"/>
    <col min="10" max="10" width="10.42578125" bestFit="1" customWidth="1"/>
    <col min="11" max="11" width="9.28515625" bestFit="1" customWidth="1"/>
    <col min="12" max="12" width="10.140625" bestFit="1" customWidth="1"/>
    <col min="13" max="13" width="10.42578125" bestFit="1" customWidth="1"/>
    <col min="14" max="14" width="11.5703125" bestFit="1" customWidth="1"/>
    <col min="15" max="15" width="7.7109375" bestFit="1" customWidth="1"/>
    <col min="16" max="16" width="10.42578125" bestFit="1" customWidth="1"/>
  </cols>
  <sheetData>
    <row r="1" spans="1:16" x14ac:dyDescent="0.25">
      <c r="A1" t="s">
        <v>132</v>
      </c>
      <c r="B1" t="s">
        <v>133</v>
      </c>
      <c r="C1" t="s">
        <v>134</v>
      </c>
      <c r="E1" t="s">
        <v>0</v>
      </c>
      <c r="F1" t="s">
        <v>26</v>
      </c>
      <c r="G1" t="s">
        <v>1</v>
      </c>
      <c r="H1" s="2" t="s">
        <v>2</v>
      </c>
      <c r="I1" t="s">
        <v>3</v>
      </c>
      <c r="J1" t="s">
        <v>4</v>
      </c>
      <c r="K1" t="s">
        <v>20</v>
      </c>
      <c r="L1" t="s">
        <v>50</v>
      </c>
      <c r="M1" t="s">
        <v>5</v>
      </c>
      <c r="N1" t="s">
        <v>36</v>
      </c>
      <c r="O1" t="s">
        <v>35</v>
      </c>
      <c r="P1" t="s">
        <v>54</v>
      </c>
    </row>
    <row r="2" spans="1:16" x14ac:dyDescent="0.25">
      <c r="A2" t="s">
        <v>59</v>
      </c>
      <c r="B2" t="s">
        <v>131</v>
      </c>
      <c r="C2">
        <v>1</v>
      </c>
      <c r="F2" t="s">
        <v>27</v>
      </c>
      <c r="G2" t="s">
        <v>135</v>
      </c>
      <c r="H2" s="2">
        <v>44611</v>
      </c>
      <c r="I2" t="s">
        <v>15</v>
      </c>
      <c r="J2" t="s">
        <v>17</v>
      </c>
      <c r="K2" t="s">
        <v>21</v>
      </c>
      <c r="O2">
        <v>975</v>
      </c>
      <c r="P2" s="1">
        <v>44604</v>
      </c>
    </row>
    <row r="3" spans="1:16" x14ac:dyDescent="0.25">
      <c r="A3" t="s">
        <v>60</v>
      </c>
      <c r="B3" t="s">
        <v>131</v>
      </c>
      <c r="C3">
        <v>2</v>
      </c>
      <c r="F3" t="s">
        <v>27</v>
      </c>
      <c r="G3" t="s">
        <v>136</v>
      </c>
      <c r="H3" s="2">
        <v>44610</v>
      </c>
      <c r="I3" t="s">
        <v>15</v>
      </c>
      <c r="J3" t="s">
        <v>17</v>
      </c>
      <c r="K3" t="s">
        <v>22</v>
      </c>
      <c r="O3">
        <v>723.07</v>
      </c>
      <c r="P3" s="1">
        <v>44604</v>
      </c>
    </row>
    <row r="4" spans="1:16" x14ac:dyDescent="0.25">
      <c r="A4" t="s">
        <v>61</v>
      </c>
      <c r="B4" t="s">
        <v>131</v>
      </c>
      <c r="C4">
        <v>3</v>
      </c>
      <c r="F4" t="s">
        <v>27</v>
      </c>
      <c r="G4" t="s">
        <v>137</v>
      </c>
      <c r="H4" s="2">
        <v>44610</v>
      </c>
      <c r="I4" t="s">
        <v>15</v>
      </c>
      <c r="J4" t="s">
        <v>17</v>
      </c>
      <c r="K4" t="s">
        <v>23</v>
      </c>
      <c r="O4">
        <v>711.76</v>
      </c>
      <c r="P4" s="1">
        <v>44604</v>
      </c>
    </row>
    <row r="5" spans="1:16" x14ac:dyDescent="0.25">
      <c r="A5" t="s">
        <v>62</v>
      </c>
      <c r="B5" t="s">
        <v>131</v>
      </c>
      <c r="C5">
        <v>4</v>
      </c>
      <c r="F5" t="s">
        <v>27</v>
      </c>
      <c r="G5" t="s">
        <v>138</v>
      </c>
      <c r="H5" s="2">
        <v>44603</v>
      </c>
      <c r="I5" t="s">
        <v>15</v>
      </c>
      <c r="J5" t="s">
        <v>17</v>
      </c>
      <c r="K5" t="s">
        <v>32</v>
      </c>
      <c r="O5">
        <v>659.76</v>
      </c>
      <c r="P5" s="1">
        <v>44604</v>
      </c>
    </row>
    <row r="6" spans="1:16" x14ac:dyDescent="0.25">
      <c r="A6" t="s">
        <v>63</v>
      </c>
      <c r="B6" t="s">
        <v>131</v>
      </c>
      <c r="C6">
        <v>5</v>
      </c>
      <c r="F6" t="s">
        <v>27</v>
      </c>
      <c r="G6" t="s">
        <v>139</v>
      </c>
      <c r="H6" s="2">
        <v>44602</v>
      </c>
      <c r="I6" t="s">
        <v>15</v>
      </c>
      <c r="J6" t="s">
        <v>17</v>
      </c>
      <c r="K6" t="s">
        <v>19</v>
      </c>
      <c r="L6" t="s">
        <v>19</v>
      </c>
      <c r="O6">
        <v>71.87</v>
      </c>
      <c r="P6" s="1">
        <v>44604</v>
      </c>
    </row>
    <row r="7" spans="1:16" x14ac:dyDescent="0.25">
      <c r="A7" t="s">
        <v>64</v>
      </c>
      <c r="B7" t="s">
        <v>131</v>
      </c>
      <c r="C7">
        <v>6</v>
      </c>
      <c r="F7" t="s">
        <v>27</v>
      </c>
      <c r="G7" t="s">
        <v>140</v>
      </c>
      <c r="H7" s="2">
        <v>44601</v>
      </c>
      <c r="I7" t="s">
        <v>15</v>
      </c>
      <c r="J7" t="s">
        <v>17</v>
      </c>
      <c r="K7" t="s">
        <v>23</v>
      </c>
      <c r="O7">
        <v>85</v>
      </c>
      <c r="P7" s="1">
        <v>44604</v>
      </c>
    </row>
    <row r="8" spans="1:16" x14ac:dyDescent="0.25">
      <c r="A8" t="s">
        <v>65</v>
      </c>
      <c r="B8" t="s">
        <v>131</v>
      </c>
      <c r="C8">
        <v>7</v>
      </c>
      <c r="E8" t="s">
        <v>6</v>
      </c>
      <c r="F8" t="s">
        <v>27</v>
      </c>
      <c r="G8" t="s">
        <v>141</v>
      </c>
      <c r="H8" s="2">
        <v>44600</v>
      </c>
      <c r="I8" t="s">
        <v>15</v>
      </c>
      <c r="J8" t="s">
        <v>17</v>
      </c>
      <c r="K8" t="s">
        <v>32</v>
      </c>
      <c r="L8" t="s">
        <v>19</v>
      </c>
      <c r="M8" t="s">
        <v>41</v>
      </c>
      <c r="O8">
        <v>640</v>
      </c>
      <c r="P8" s="1">
        <v>44604</v>
      </c>
    </row>
    <row r="9" spans="1:16" x14ac:dyDescent="0.25">
      <c r="A9" t="s">
        <v>66</v>
      </c>
      <c r="B9" t="s">
        <v>131</v>
      </c>
      <c r="C9">
        <v>8</v>
      </c>
      <c r="F9" t="s">
        <v>28</v>
      </c>
      <c r="G9" t="s">
        <v>142</v>
      </c>
      <c r="H9" s="2">
        <v>44600</v>
      </c>
      <c r="I9" t="s">
        <v>15</v>
      </c>
      <c r="J9" t="s">
        <v>17</v>
      </c>
      <c r="K9" t="s">
        <v>32</v>
      </c>
      <c r="O9">
        <v>524.5</v>
      </c>
      <c r="P9" s="1">
        <v>44604</v>
      </c>
    </row>
    <row r="10" spans="1:16" x14ac:dyDescent="0.25">
      <c r="A10" t="s">
        <v>67</v>
      </c>
      <c r="B10" t="s">
        <v>131</v>
      </c>
      <c r="C10">
        <v>9</v>
      </c>
      <c r="E10" t="s">
        <v>8</v>
      </c>
      <c r="F10" t="s">
        <v>27</v>
      </c>
      <c r="G10" t="s">
        <v>143</v>
      </c>
      <c r="H10" s="2">
        <v>44599</v>
      </c>
      <c r="I10" t="s">
        <v>53</v>
      </c>
      <c r="J10" t="s">
        <v>18</v>
      </c>
      <c r="K10" t="s">
        <v>22</v>
      </c>
      <c r="L10" t="s">
        <v>52</v>
      </c>
      <c r="M10" t="s">
        <v>24</v>
      </c>
      <c r="O10">
        <v>508.11</v>
      </c>
      <c r="P10" s="1">
        <v>44604</v>
      </c>
    </row>
    <row r="11" spans="1:16" x14ac:dyDescent="0.25">
      <c r="A11" t="s">
        <v>68</v>
      </c>
      <c r="B11" t="s">
        <v>131</v>
      </c>
      <c r="C11">
        <v>10</v>
      </c>
      <c r="E11" t="s">
        <v>9</v>
      </c>
      <c r="F11" t="s">
        <v>27</v>
      </c>
      <c r="G11" t="s">
        <v>144</v>
      </c>
      <c r="H11" s="2">
        <v>44599</v>
      </c>
      <c r="I11" t="s">
        <v>15</v>
      </c>
      <c r="J11" t="s">
        <v>17</v>
      </c>
      <c r="K11" t="s">
        <v>22</v>
      </c>
      <c r="L11" t="s">
        <v>52</v>
      </c>
      <c r="M11" t="s">
        <v>24</v>
      </c>
      <c r="O11">
        <v>508.08</v>
      </c>
      <c r="P11" s="1">
        <v>44604</v>
      </c>
    </row>
    <row r="12" spans="1:16" x14ac:dyDescent="0.25">
      <c r="A12" t="s">
        <v>69</v>
      </c>
      <c r="B12" t="s">
        <v>131</v>
      </c>
      <c r="C12">
        <v>11</v>
      </c>
      <c r="E12" t="s">
        <v>46</v>
      </c>
      <c r="F12" t="s">
        <v>27</v>
      </c>
      <c r="G12" t="s">
        <v>145</v>
      </c>
      <c r="H12" s="2">
        <v>44599</v>
      </c>
      <c r="I12" t="s">
        <v>15</v>
      </c>
      <c r="J12" t="s">
        <v>17</v>
      </c>
      <c r="K12" t="s">
        <v>32</v>
      </c>
      <c r="L12" t="s">
        <v>52</v>
      </c>
      <c r="M12" t="s">
        <v>44</v>
      </c>
      <c r="N12" s="1">
        <v>44602</v>
      </c>
      <c r="O12">
        <v>491</v>
      </c>
      <c r="P12" s="1">
        <v>44604</v>
      </c>
    </row>
    <row r="13" spans="1:16" x14ac:dyDescent="0.25">
      <c r="A13" t="s">
        <v>70</v>
      </c>
      <c r="B13" t="s">
        <v>131</v>
      </c>
      <c r="C13">
        <v>12</v>
      </c>
      <c r="E13" t="s">
        <v>7</v>
      </c>
      <c r="F13" t="s">
        <v>27</v>
      </c>
      <c r="G13" t="s">
        <v>146</v>
      </c>
      <c r="H13" s="2">
        <v>44599</v>
      </c>
      <c r="I13" t="s">
        <v>16</v>
      </c>
      <c r="J13" t="s">
        <v>18</v>
      </c>
      <c r="K13" t="s">
        <v>23</v>
      </c>
      <c r="L13" t="s">
        <v>52</v>
      </c>
      <c r="M13" t="s">
        <v>41</v>
      </c>
      <c r="O13">
        <v>488.08</v>
      </c>
      <c r="P13" s="1">
        <v>44604</v>
      </c>
    </row>
    <row r="14" spans="1:16" x14ac:dyDescent="0.25">
      <c r="A14" t="s">
        <v>71</v>
      </c>
      <c r="B14" t="s">
        <v>131</v>
      </c>
      <c r="C14">
        <v>13</v>
      </c>
      <c r="F14" t="s">
        <v>28</v>
      </c>
      <c r="G14" t="s">
        <v>147</v>
      </c>
      <c r="H14" s="2">
        <v>44598</v>
      </c>
      <c r="I14" t="s">
        <v>16</v>
      </c>
      <c r="J14" t="s">
        <v>18</v>
      </c>
      <c r="K14" t="s">
        <v>22</v>
      </c>
      <c r="O14">
        <v>85</v>
      </c>
      <c r="P14" s="1">
        <v>44604</v>
      </c>
    </row>
    <row r="15" spans="1:16" x14ac:dyDescent="0.25">
      <c r="A15" t="s">
        <v>72</v>
      </c>
      <c r="B15" t="s">
        <v>131</v>
      </c>
      <c r="C15">
        <v>14</v>
      </c>
      <c r="F15" t="s">
        <v>28</v>
      </c>
      <c r="G15" t="s">
        <v>148</v>
      </c>
      <c r="H15" s="2">
        <v>44597</v>
      </c>
      <c r="I15" t="s">
        <v>16</v>
      </c>
      <c r="J15" t="s">
        <v>18</v>
      </c>
      <c r="K15" t="s">
        <v>23</v>
      </c>
      <c r="O15">
        <v>481</v>
      </c>
      <c r="P15" s="1">
        <v>44604</v>
      </c>
    </row>
    <row r="16" spans="1:16" x14ac:dyDescent="0.25">
      <c r="A16" t="s">
        <v>73</v>
      </c>
      <c r="B16" t="s">
        <v>131</v>
      </c>
      <c r="C16">
        <v>15</v>
      </c>
      <c r="F16" t="s">
        <v>28</v>
      </c>
      <c r="G16" t="s">
        <v>149</v>
      </c>
      <c r="H16" s="2">
        <v>44597</v>
      </c>
      <c r="I16" t="s">
        <v>16</v>
      </c>
      <c r="J16" t="s">
        <v>18</v>
      </c>
      <c r="K16" t="s">
        <v>22</v>
      </c>
      <c r="O16">
        <v>420</v>
      </c>
      <c r="P16" s="1">
        <v>44604</v>
      </c>
    </row>
    <row r="17" spans="1:16" x14ac:dyDescent="0.25">
      <c r="A17" t="s">
        <v>74</v>
      </c>
      <c r="B17" t="s">
        <v>131</v>
      </c>
      <c r="C17">
        <v>16</v>
      </c>
      <c r="F17" t="s">
        <v>28</v>
      </c>
      <c r="G17" t="s">
        <v>150</v>
      </c>
      <c r="H17" s="2">
        <v>44597</v>
      </c>
      <c r="I17" t="s">
        <v>16</v>
      </c>
      <c r="J17" t="s">
        <v>18</v>
      </c>
      <c r="K17" t="s">
        <v>23</v>
      </c>
      <c r="O17">
        <v>415</v>
      </c>
      <c r="P17" s="1">
        <v>44604</v>
      </c>
    </row>
    <row r="18" spans="1:16" x14ac:dyDescent="0.25">
      <c r="A18" t="s">
        <v>75</v>
      </c>
      <c r="B18" t="s">
        <v>131</v>
      </c>
      <c r="C18">
        <v>17</v>
      </c>
      <c r="F18" t="s">
        <v>28</v>
      </c>
      <c r="G18" t="s">
        <v>151</v>
      </c>
      <c r="H18" s="2">
        <v>44594</v>
      </c>
      <c r="I18" t="s">
        <v>16</v>
      </c>
      <c r="J18" t="s">
        <v>18</v>
      </c>
      <c r="K18" t="s">
        <v>32</v>
      </c>
      <c r="O18">
        <v>405</v>
      </c>
      <c r="P18" s="1">
        <v>44604</v>
      </c>
    </row>
    <row r="19" spans="1:16" x14ac:dyDescent="0.25">
      <c r="A19" t="s">
        <v>76</v>
      </c>
      <c r="B19" t="s">
        <v>131</v>
      </c>
      <c r="C19">
        <v>18</v>
      </c>
      <c r="F19" t="s">
        <v>28</v>
      </c>
      <c r="G19" t="s">
        <v>152</v>
      </c>
      <c r="H19" s="2">
        <v>44594</v>
      </c>
      <c r="I19" t="s">
        <v>16</v>
      </c>
      <c r="J19" t="s">
        <v>18</v>
      </c>
      <c r="K19" t="s">
        <v>55</v>
      </c>
      <c r="O19">
        <v>405</v>
      </c>
      <c r="P19" s="1">
        <v>44604</v>
      </c>
    </row>
    <row r="20" spans="1:16" x14ac:dyDescent="0.25">
      <c r="A20" t="s">
        <v>77</v>
      </c>
      <c r="B20" t="s">
        <v>131</v>
      </c>
      <c r="C20">
        <v>19</v>
      </c>
      <c r="F20" t="s">
        <v>28</v>
      </c>
      <c r="G20" t="s">
        <v>153</v>
      </c>
      <c r="H20" s="2">
        <v>44594</v>
      </c>
      <c r="I20" t="s">
        <v>16</v>
      </c>
      <c r="J20" t="s">
        <v>18</v>
      </c>
      <c r="K20" t="s">
        <v>23</v>
      </c>
      <c r="O20">
        <v>405</v>
      </c>
      <c r="P20" s="1">
        <v>44604</v>
      </c>
    </row>
    <row r="21" spans="1:16" x14ac:dyDescent="0.25">
      <c r="A21" t="s">
        <v>78</v>
      </c>
      <c r="B21" t="s">
        <v>131</v>
      </c>
      <c r="C21">
        <v>20</v>
      </c>
      <c r="E21" t="s">
        <v>13</v>
      </c>
      <c r="F21" t="s">
        <v>28</v>
      </c>
      <c r="G21" t="s">
        <v>154</v>
      </c>
      <c r="H21" s="2">
        <v>44593</v>
      </c>
      <c r="I21" t="s">
        <v>53</v>
      </c>
      <c r="J21" t="s">
        <v>18</v>
      </c>
      <c r="K21" t="s">
        <v>43</v>
      </c>
      <c r="L21" t="s">
        <v>51</v>
      </c>
      <c r="M21" t="s">
        <v>25</v>
      </c>
      <c r="O21">
        <v>401</v>
      </c>
      <c r="P21" s="1">
        <v>44604</v>
      </c>
    </row>
    <row r="22" spans="1:16" x14ac:dyDescent="0.25">
      <c r="A22" t="s">
        <v>79</v>
      </c>
      <c r="B22" t="s">
        <v>131</v>
      </c>
      <c r="C22">
        <v>21</v>
      </c>
      <c r="E22" t="s">
        <v>10</v>
      </c>
      <c r="F22" t="s">
        <v>27</v>
      </c>
      <c r="G22" t="s">
        <v>155</v>
      </c>
      <c r="H22" s="2">
        <v>44593</v>
      </c>
      <c r="I22" t="s">
        <v>16</v>
      </c>
      <c r="J22" t="s">
        <v>17</v>
      </c>
      <c r="K22" t="s">
        <v>22</v>
      </c>
      <c r="L22" t="s">
        <v>19</v>
      </c>
      <c r="M22" t="s">
        <v>40</v>
      </c>
      <c r="O22">
        <v>393</v>
      </c>
      <c r="P22" s="1">
        <v>44604</v>
      </c>
    </row>
    <row r="23" spans="1:16" x14ac:dyDescent="0.25">
      <c r="A23" t="s">
        <v>80</v>
      </c>
      <c r="B23" t="s">
        <v>131</v>
      </c>
      <c r="C23">
        <v>22</v>
      </c>
      <c r="E23" t="s">
        <v>11</v>
      </c>
      <c r="F23" t="s">
        <v>27</v>
      </c>
      <c r="G23" t="s">
        <v>156</v>
      </c>
      <c r="H23" s="2">
        <v>44593</v>
      </c>
      <c r="I23" t="s">
        <v>16</v>
      </c>
      <c r="J23" t="s">
        <v>17</v>
      </c>
      <c r="K23" t="s">
        <v>23</v>
      </c>
      <c r="L23" t="s">
        <v>19</v>
      </c>
      <c r="M23" t="s">
        <v>42</v>
      </c>
      <c r="O23">
        <v>393</v>
      </c>
      <c r="P23" s="1">
        <v>44604</v>
      </c>
    </row>
    <row r="24" spans="1:16" x14ac:dyDescent="0.25">
      <c r="A24" t="s">
        <v>81</v>
      </c>
      <c r="B24" t="s">
        <v>131</v>
      </c>
      <c r="C24">
        <v>23</v>
      </c>
      <c r="E24" t="s">
        <v>12</v>
      </c>
      <c r="F24" t="s">
        <v>28</v>
      </c>
      <c r="G24" t="s">
        <v>157</v>
      </c>
      <c r="H24" s="2">
        <v>44593</v>
      </c>
      <c r="I24" t="s">
        <v>16</v>
      </c>
      <c r="J24" t="s">
        <v>18</v>
      </c>
      <c r="K24" t="s">
        <v>22</v>
      </c>
      <c r="L24" t="s">
        <v>51</v>
      </c>
      <c r="M24" t="s">
        <v>41</v>
      </c>
      <c r="O24">
        <v>734.98</v>
      </c>
      <c r="P24" s="1">
        <v>44604</v>
      </c>
    </row>
    <row r="25" spans="1:16" x14ac:dyDescent="0.25">
      <c r="A25" t="s">
        <v>82</v>
      </c>
      <c r="B25" t="s">
        <v>131</v>
      </c>
      <c r="C25">
        <v>24</v>
      </c>
      <c r="E25" t="s">
        <v>14</v>
      </c>
      <c r="F25" t="s">
        <v>27</v>
      </c>
      <c r="G25" t="s">
        <v>158</v>
      </c>
      <c r="H25" s="2">
        <v>44592</v>
      </c>
      <c r="I25" t="s">
        <v>15</v>
      </c>
      <c r="J25" t="s">
        <v>17</v>
      </c>
      <c r="K25" t="s">
        <v>21</v>
      </c>
      <c r="L25" t="s">
        <v>52</v>
      </c>
      <c r="M25" t="s">
        <v>25</v>
      </c>
      <c r="O25">
        <v>32.24</v>
      </c>
      <c r="P25" s="1">
        <v>44604</v>
      </c>
    </row>
    <row r="26" spans="1:16" x14ac:dyDescent="0.25">
      <c r="A26" t="s">
        <v>83</v>
      </c>
      <c r="B26" t="s">
        <v>131</v>
      </c>
      <c r="C26">
        <v>25</v>
      </c>
      <c r="E26" t="s">
        <v>48</v>
      </c>
      <c r="F26" t="s">
        <v>27</v>
      </c>
      <c r="G26" t="s">
        <v>159</v>
      </c>
      <c r="H26" s="2">
        <v>44591</v>
      </c>
      <c r="I26" t="s">
        <v>53</v>
      </c>
      <c r="J26" t="s">
        <v>18</v>
      </c>
      <c r="K26" t="s">
        <v>43</v>
      </c>
      <c r="L26" t="s">
        <v>52</v>
      </c>
      <c r="M26" t="s">
        <v>37</v>
      </c>
      <c r="N26" s="1">
        <v>44604</v>
      </c>
      <c r="O26">
        <v>0</v>
      </c>
      <c r="P26" s="1">
        <v>44604</v>
      </c>
    </row>
    <row r="27" spans="1:16" x14ac:dyDescent="0.25">
      <c r="A27" t="s">
        <v>84</v>
      </c>
      <c r="B27" t="s">
        <v>131</v>
      </c>
      <c r="C27">
        <v>26</v>
      </c>
      <c r="F27" t="s">
        <v>28</v>
      </c>
      <c r="G27" t="s">
        <v>160</v>
      </c>
      <c r="H27" s="2">
        <v>44591</v>
      </c>
      <c r="I27" t="s">
        <v>53</v>
      </c>
      <c r="J27" t="s">
        <v>18</v>
      </c>
      <c r="K27" t="s">
        <v>55</v>
      </c>
      <c r="O27">
        <v>320</v>
      </c>
      <c r="P27" s="1">
        <v>44604</v>
      </c>
    </row>
    <row r="28" spans="1:16" x14ac:dyDescent="0.25">
      <c r="A28" t="s">
        <v>85</v>
      </c>
      <c r="B28" t="s">
        <v>131</v>
      </c>
      <c r="C28">
        <v>27</v>
      </c>
      <c r="F28" t="s">
        <v>28</v>
      </c>
      <c r="G28" t="s">
        <v>161</v>
      </c>
      <c r="H28" s="2">
        <v>44590</v>
      </c>
      <c r="I28" t="s">
        <v>53</v>
      </c>
      <c r="J28" t="s">
        <v>18</v>
      </c>
      <c r="K28" t="s">
        <v>23</v>
      </c>
      <c r="O28">
        <v>320</v>
      </c>
      <c r="P28" s="1">
        <v>44604</v>
      </c>
    </row>
    <row r="29" spans="1:16" x14ac:dyDescent="0.25">
      <c r="A29" t="s">
        <v>86</v>
      </c>
      <c r="B29" t="s">
        <v>131</v>
      </c>
      <c r="C29">
        <v>28</v>
      </c>
      <c r="F29" t="s">
        <v>28</v>
      </c>
      <c r="G29" t="s">
        <v>162</v>
      </c>
      <c r="H29" s="2">
        <v>44590</v>
      </c>
      <c r="I29" t="s">
        <v>53</v>
      </c>
      <c r="J29" t="s">
        <v>18</v>
      </c>
      <c r="K29" t="s">
        <v>23</v>
      </c>
      <c r="O29">
        <v>315</v>
      </c>
      <c r="P29" s="1">
        <v>44604</v>
      </c>
    </row>
    <row r="30" spans="1:16" x14ac:dyDescent="0.25">
      <c r="A30" t="s">
        <v>87</v>
      </c>
      <c r="B30" t="s">
        <v>131</v>
      </c>
      <c r="C30">
        <v>29</v>
      </c>
      <c r="F30" t="s">
        <v>28</v>
      </c>
      <c r="G30" t="s">
        <v>163</v>
      </c>
      <c r="H30" s="2">
        <v>44589</v>
      </c>
      <c r="I30" t="s">
        <v>53</v>
      </c>
      <c r="J30" t="s">
        <v>18</v>
      </c>
      <c r="K30" t="s">
        <v>22</v>
      </c>
      <c r="O30">
        <v>310</v>
      </c>
      <c r="P30" s="1">
        <v>44604</v>
      </c>
    </row>
    <row r="31" spans="1:16" x14ac:dyDescent="0.25">
      <c r="A31" t="s">
        <v>88</v>
      </c>
      <c r="B31" t="s">
        <v>131</v>
      </c>
      <c r="C31">
        <v>30</v>
      </c>
      <c r="E31" t="s">
        <v>31</v>
      </c>
      <c r="F31" t="s">
        <v>27</v>
      </c>
      <c r="G31" t="s">
        <v>164</v>
      </c>
      <c r="H31" s="2">
        <v>44589</v>
      </c>
      <c r="I31" t="s">
        <v>53</v>
      </c>
      <c r="J31" t="s">
        <v>18</v>
      </c>
      <c r="K31" t="s">
        <v>23</v>
      </c>
      <c r="L31" t="s">
        <v>51</v>
      </c>
      <c r="M31" t="s">
        <v>29</v>
      </c>
      <c r="N31" s="1">
        <v>44593</v>
      </c>
      <c r="O31">
        <v>310</v>
      </c>
      <c r="P31" s="1">
        <v>44604</v>
      </c>
    </row>
    <row r="32" spans="1:16" x14ac:dyDescent="0.25">
      <c r="A32" t="s">
        <v>89</v>
      </c>
      <c r="B32" t="s">
        <v>131</v>
      </c>
      <c r="C32">
        <v>31</v>
      </c>
      <c r="E32" t="s">
        <v>30</v>
      </c>
      <c r="F32" t="s">
        <v>27</v>
      </c>
      <c r="G32" t="s">
        <v>165</v>
      </c>
      <c r="H32" s="2">
        <v>44589</v>
      </c>
      <c r="I32" t="s">
        <v>16</v>
      </c>
      <c r="J32" t="s">
        <v>18</v>
      </c>
      <c r="K32" t="s">
        <v>23</v>
      </c>
      <c r="L32" t="s">
        <v>51</v>
      </c>
      <c r="M32" t="s">
        <v>29</v>
      </c>
      <c r="N32" s="1">
        <v>44593</v>
      </c>
      <c r="O32">
        <v>305</v>
      </c>
      <c r="P32" s="1">
        <v>44604</v>
      </c>
    </row>
    <row r="33" spans="1:16" x14ac:dyDescent="0.25">
      <c r="A33" t="s">
        <v>90</v>
      </c>
      <c r="B33" t="s">
        <v>131</v>
      </c>
      <c r="C33">
        <v>32</v>
      </c>
      <c r="F33" t="s">
        <v>27</v>
      </c>
      <c r="G33" t="s">
        <v>166</v>
      </c>
      <c r="H33" s="2">
        <v>44582</v>
      </c>
      <c r="I33" t="s">
        <v>16</v>
      </c>
      <c r="J33" t="s">
        <v>18</v>
      </c>
      <c r="K33" t="s">
        <v>22</v>
      </c>
      <c r="O33">
        <v>304</v>
      </c>
      <c r="P33" s="1">
        <v>44604</v>
      </c>
    </row>
    <row r="34" spans="1:16" x14ac:dyDescent="0.25">
      <c r="A34" t="s">
        <v>91</v>
      </c>
      <c r="B34" t="s">
        <v>131</v>
      </c>
      <c r="C34">
        <v>33</v>
      </c>
      <c r="F34" t="s">
        <v>27</v>
      </c>
      <c r="G34" t="s">
        <v>167</v>
      </c>
      <c r="H34" s="2">
        <v>44582</v>
      </c>
      <c r="I34" t="s">
        <v>16</v>
      </c>
      <c r="J34" t="s">
        <v>18</v>
      </c>
      <c r="K34" t="s">
        <v>22</v>
      </c>
      <c r="O34">
        <v>293</v>
      </c>
      <c r="P34" s="1">
        <v>44604</v>
      </c>
    </row>
    <row r="35" spans="1:16" x14ac:dyDescent="0.25">
      <c r="A35" t="s">
        <v>92</v>
      </c>
      <c r="B35" t="s">
        <v>131</v>
      </c>
      <c r="C35">
        <v>34</v>
      </c>
      <c r="F35" t="s">
        <v>27</v>
      </c>
      <c r="G35" t="s">
        <v>168</v>
      </c>
      <c r="H35" s="2">
        <v>44581</v>
      </c>
      <c r="I35" t="s">
        <v>16</v>
      </c>
      <c r="J35" t="s">
        <v>18</v>
      </c>
      <c r="K35" t="s">
        <v>55</v>
      </c>
      <c r="O35">
        <v>293</v>
      </c>
      <c r="P35" s="1">
        <v>44604</v>
      </c>
    </row>
    <row r="36" spans="1:16" x14ac:dyDescent="0.25">
      <c r="A36" t="s">
        <v>93</v>
      </c>
      <c r="B36" t="s">
        <v>131</v>
      </c>
      <c r="C36">
        <v>35</v>
      </c>
      <c r="F36" t="s">
        <v>27</v>
      </c>
      <c r="G36" t="s">
        <v>169</v>
      </c>
      <c r="H36" s="2">
        <v>44581</v>
      </c>
      <c r="I36" t="s">
        <v>16</v>
      </c>
      <c r="J36" t="s">
        <v>18</v>
      </c>
      <c r="K36" t="s">
        <v>23</v>
      </c>
      <c r="O36">
        <v>293</v>
      </c>
      <c r="P36" s="1">
        <v>44604</v>
      </c>
    </row>
    <row r="37" spans="1:16" x14ac:dyDescent="0.25">
      <c r="A37" t="s">
        <v>94</v>
      </c>
      <c r="B37" t="s">
        <v>131</v>
      </c>
      <c r="C37">
        <v>36</v>
      </c>
      <c r="F37" t="s">
        <v>27</v>
      </c>
      <c r="G37" t="s">
        <v>170</v>
      </c>
      <c r="H37" s="2">
        <v>44581</v>
      </c>
      <c r="I37" t="s">
        <v>16</v>
      </c>
      <c r="J37" t="s">
        <v>18</v>
      </c>
      <c r="K37" t="s">
        <v>32</v>
      </c>
      <c r="O37">
        <v>290</v>
      </c>
      <c r="P37" s="1">
        <v>44604</v>
      </c>
    </row>
    <row r="38" spans="1:16" x14ac:dyDescent="0.25">
      <c r="A38" t="s">
        <v>95</v>
      </c>
      <c r="B38" t="s">
        <v>131</v>
      </c>
      <c r="C38">
        <v>37</v>
      </c>
      <c r="F38" t="s">
        <v>27</v>
      </c>
      <c r="G38" t="s">
        <v>171</v>
      </c>
      <c r="H38" s="2">
        <v>44569</v>
      </c>
      <c r="I38" t="s">
        <v>16</v>
      </c>
      <c r="J38" t="s">
        <v>18</v>
      </c>
      <c r="K38" t="s">
        <v>22</v>
      </c>
      <c r="O38">
        <v>289.5</v>
      </c>
      <c r="P38" s="1">
        <v>44604</v>
      </c>
    </row>
    <row r="39" spans="1:16" x14ac:dyDescent="0.25">
      <c r="A39" t="s">
        <v>96</v>
      </c>
      <c r="B39" t="s">
        <v>131</v>
      </c>
      <c r="C39">
        <v>38</v>
      </c>
      <c r="E39" t="s">
        <v>47</v>
      </c>
      <c r="F39" t="s">
        <v>27</v>
      </c>
      <c r="G39" t="s">
        <v>172</v>
      </c>
      <c r="H39" s="2">
        <v>44568</v>
      </c>
      <c r="I39" t="s">
        <v>16</v>
      </c>
      <c r="J39" t="s">
        <v>18</v>
      </c>
      <c r="K39" t="s">
        <v>55</v>
      </c>
      <c r="L39" t="s">
        <v>51</v>
      </c>
      <c r="M39" t="s">
        <v>45</v>
      </c>
      <c r="N39" s="1">
        <v>44217</v>
      </c>
      <c r="O39">
        <v>289.5</v>
      </c>
      <c r="P39" s="1">
        <v>44604</v>
      </c>
    </row>
    <row r="40" spans="1:16" x14ac:dyDescent="0.25">
      <c r="A40" t="s">
        <v>97</v>
      </c>
      <c r="B40" t="s">
        <v>131</v>
      </c>
      <c r="C40">
        <v>39</v>
      </c>
      <c r="F40" t="s">
        <v>27</v>
      </c>
      <c r="G40" t="s">
        <v>173</v>
      </c>
      <c r="H40" s="2">
        <v>44561</v>
      </c>
      <c r="I40" t="s">
        <v>16</v>
      </c>
      <c r="J40" t="s">
        <v>18</v>
      </c>
      <c r="K40" t="s">
        <v>22</v>
      </c>
      <c r="O40">
        <v>289.5</v>
      </c>
      <c r="P40" s="1">
        <v>44604</v>
      </c>
    </row>
    <row r="41" spans="1:16" x14ac:dyDescent="0.25">
      <c r="A41" t="s">
        <v>98</v>
      </c>
      <c r="B41" t="s">
        <v>131</v>
      </c>
      <c r="C41">
        <v>40</v>
      </c>
      <c r="F41" t="s">
        <v>27</v>
      </c>
      <c r="G41" t="s">
        <v>174</v>
      </c>
      <c r="H41" s="2">
        <v>44561</v>
      </c>
      <c r="I41" t="s">
        <v>16</v>
      </c>
      <c r="J41" t="s">
        <v>18</v>
      </c>
      <c r="K41" t="s">
        <v>23</v>
      </c>
      <c r="O41">
        <v>289.5</v>
      </c>
      <c r="P41" s="1">
        <v>44604</v>
      </c>
    </row>
    <row r="42" spans="1:16" x14ac:dyDescent="0.25">
      <c r="A42" t="s">
        <v>99</v>
      </c>
      <c r="B42" t="s">
        <v>131</v>
      </c>
      <c r="C42">
        <v>41</v>
      </c>
      <c r="F42" t="s">
        <v>27</v>
      </c>
      <c r="G42" t="s">
        <v>175</v>
      </c>
      <c r="H42" s="2">
        <v>44561</v>
      </c>
      <c r="I42" t="s">
        <v>16</v>
      </c>
      <c r="J42" t="s">
        <v>18</v>
      </c>
      <c r="K42" t="s">
        <v>23</v>
      </c>
      <c r="O42">
        <v>289.5</v>
      </c>
      <c r="P42" s="1">
        <v>44604</v>
      </c>
    </row>
    <row r="43" spans="1:16" x14ac:dyDescent="0.25">
      <c r="A43" t="s">
        <v>100</v>
      </c>
      <c r="B43" t="s">
        <v>131</v>
      </c>
      <c r="C43">
        <v>42</v>
      </c>
      <c r="F43" t="s">
        <v>27</v>
      </c>
      <c r="G43" t="s">
        <v>176</v>
      </c>
      <c r="H43" s="2">
        <v>44561</v>
      </c>
      <c r="I43" t="s">
        <v>16</v>
      </c>
      <c r="J43" t="s">
        <v>18</v>
      </c>
      <c r="K43" t="s">
        <v>22</v>
      </c>
      <c r="O43">
        <v>289.5</v>
      </c>
      <c r="P43" s="1">
        <v>44604</v>
      </c>
    </row>
    <row r="44" spans="1:16" x14ac:dyDescent="0.25">
      <c r="A44" t="s">
        <v>101</v>
      </c>
      <c r="B44" t="s">
        <v>131</v>
      </c>
      <c r="C44">
        <v>43</v>
      </c>
      <c r="F44" t="s">
        <v>27</v>
      </c>
      <c r="G44" t="s">
        <v>177</v>
      </c>
      <c r="H44" s="2">
        <v>44561</v>
      </c>
      <c r="I44" t="s">
        <v>16</v>
      </c>
      <c r="J44" t="s">
        <v>18</v>
      </c>
      <c r="K44" t="s">
        <v>22</v>
      </c>
      <c r="O44">
        <v>289.5</v>
      </c>
      <c r="P44" s="1">
        <v>44604</v>
      </c>
    </row>
    <row r="45" spans="1:16" x14ac:dyDescent="0.25">
      <c r="A45" t="s">
        <v>102</v>
      </c>
      <c r="B45" t="s">
        <v>131</v>
      </c>
      <c r="C45">
        <v>44</v>
      </c>
      <c r="F45" t="s">
        <v>27</v>
      </c>
      <c r="G45" t="s">
        <v>178</v>
      </c>
      <c r="H45" s="2">
        <v>44557</v>
      </c>
      <c r="I45" t="s">
        <v>16</v>
      </c>
      <c r="J45" t="s">
        <v>18</v>
      </c>
      <c r="K45" t="s">
        <v>22</v>
      </c>
      <c r="O45">
        <v>196.5</v>
      </c>
      <c r="P45" s="1">
        <v>44604</v>
      </c>
    </row>
    <row r="46" spans="1:16" x14ac:dyDescent="0.25">
      <c r="A46" t="s">
        <v>103</v>
      </c>
      <c r="B46" t="s">
        <v>131</v>
      </c>
      <c r="C46">
        <v>45</v>
      </c>
      <c r="F46" t="s">
        <v>27</v>
      </c>
      <c r="G46" t="s">
        <v>179</v>
      </c>
      <c r="H46" s="2">
        <v>44557</v>
      </c>
      <c r="I46" t="s">
        <v>16</v>
      </c>
      <c r="J46" t="s">
        <v>18</v>
      </c>
      <c r="K46" t="s">
        <v>23</v>
      </c>
      <c r="O46">
        <v>196.5</v>
      </c>
      <c r="P46" s="1">
        <v>44604</v>
      </c>
    </row>
    <row r="47" spans="1:16" x14ac:dyDescent="0.25">
      <c r="A47" t="s">
        <v>104</v>
      </c>
      <c r="B47" t="s">
        <v>131</v>
      </c>
      <c r="C47">
        <v>46</v>
      </c>
      <c r="F47" t="s">
        <v>27</v>
      </c>
      <c r="G47" t="s">
        <v>180</v>
      </c>
      <c r="H47" s="2">
        <v>44556</v>
      </c>
      <c r="I47" t="s">
        <v>16</v>
      </c>
      <c r="J47" t="s">
        <v>18</v>
      </c>
      <c r="K47" t="s">
        <v>23</v>
      </c>
      <c r="O47">
        <v>196.5</v>
      </c>
      <c r="P47" s="1">
        <v>44604</v>
      </c>
    </row>
    <row r="48" spans="1:16" x14ac:dyDescent="0.25">
      <c r="A48" t="s">
        <v>105</v>
      </c>
      <c r="B48" t="s">
        <v>131</v>
      </c>
      <c r="C48">
        <v>47</v>
      </c>
      <c r="F48" t="s">
        <v>27</v>
      </c>
      <c r="G48" t="s">
        <v>181</v>
      </c>
      <c r="H48" s="2">
        <v>44556</v>
      </c>
      <c r="I48" t="s">
        <v>16</v>
      </c>
      <c r="J48" t="s">
        <v>18</v>
      </c>
      <c r="K48" t="s">
        <v>33</v>
      </c>
      <c r="O48">
        <v>196.5</v>
      </c>
      <c r="P48" s="1">
        <v>44604</v>
      </c>
    </row>
    <row r="49" spans="1:16" x14ac:dyDescent="0.25">
      <c r="A49" t="s">
        <v>106</v>
      </c>
      <c r="B49" t="s">
        <v>131</v>
      </c>
      <c r="C49">
        <v>48</v>
      </c>
      <c r="F49" t="s">
        <v>27</v>
      </c>
      <c r="G49" t="s">
        <v>182</v>
      </c>
      <c r="H49" s="2">
        <v>44555</v>
      </c>
      <c r="I49" t="s">
        <v>16</v>
      </c>
      <c r="J49" t="s">
        <v>18</v>
      </c>
      <c r="K49" t="s">
        <v>22</v>
      </c>
      <c r="O49">
        <v>196.5</v>
      </c>
      <c r="P49" s="1">
        <v>44604</v>
      </c>
    </row>
    <row r="50" spans="1:16" x14ac:dyDescent="0.25">
      <c r="A50" t="s">
        <v>107</v>
      </c>
      <c r="B50" t="s">
        <v>131</v>
      </c>
      <c r="C50">
        <v>49</v>
      </c>
      <c r="F50" t="s">
        <v>27</v>
      </c>
      <c r="G50" t="s">
        <v>183</v>
      </c>
      <c r="H50" s="2">
        <v>44555</v>
      </c>
      <c r="I50" t="s">
        <v>16</v>
      </c>
      <c r="J50" t="s">
        <v>18</v>
      </c>
      <c r="K50" t="s">
        <v>32</v>
      </c>
      <c r="O50">
        <v>196.5</v>
      </c>
      <c r="P50" s="1">
        <v>44604</v>
      </c>
    </row>
    <row r="51" spans="1:16" x14ac:dyDescent="0.25">
      <c r="A51" t="s">
        <v>108</v>
      </c>
      <c r="B51" t="s">
        <v>131</v>
      </c>
      <c r="C51">
        <v>50</v>
      </c>
      <c r="F51" t="s">
        <v>27</v>
      </c>
      <c r="G51" t="s">
        <v>184</v>
      </c>
      <c r="H51" s="2">
        <v>44555</v>
      </c>
      <c r="I51" t="s">
        <v>16</v>
      </c>
      <c r="J51" t="s">
        <v>18</v>
      </c>
      <c r="K51" t="s">
        <v>33</v>
      </c>
      <c r="O51">
        <v>196.5</v>
      </c>
      <c r="P51" s="1">
        <v>44604</v>
      </c>
    </row>
    <row r="52" spans="1:16" x14ac:dyDescent="0.25">
      <c r="A52" t="s">
        <v>109</v>
      </c>
      <c r="B52" t="s">
        <v>131</v>
      </c>
      <c r="C52">
        <v>51</v>
      </c>
      <c r="F52" t="s">
        <v>27</v>
      </c>
      <c r="G52" t="s">
        <v>185</v>
      </c>
      <c r="H52" s="2">
        <v>44555</v>
      </c>
      <c r="I52" t="s">
        <v>16</v>
      </c>
      <c r="J52" t="s">
        <v>18</v>
      </c>
      <c r="K52" t="s">
        <v>22</v>
      </c>
      <c r="O52">
        <v>196.5</v>
      </c>
      <c r="P52" s="1">
        <v>44604</v>
      </c>
    </row>
    <row r="53" spans="1:16" x14ac:dyDescent="0.25">
      <c r="A53" t="s">
        <v>110</v>
      </c>
      <c r="B53" t="s">
        <v>131</v>
      </c>
      <c r="C53">
        <v>52</v>
      </c>
      <c r="F53" t="s">
        <v>27</v>
      </c>
      <c r="G53" t="s">
        <v>186</v>
      </c>
      <c r="H53" s="2">
        <v>44555</v>
      </c>
      <c r="I53" t="s">
        <v>16</v>
      </c>
      <c r="J53" t="s">
        <v>18</v>
      </c>
      <c r="K53" t="s">
        <v>21</v>
      </c>
      <c r="O53">
        <v>192.89</v>
      </c>
      <c r="P53" s="1">
        <v>44604</v>
      </c>
    </row>
    <row r="54" spans="1:16" x14ac:dyDescent="0.25">
      <c r="A54" t="s">
        <v>111</v>
      </c>
      <c r="B54" t="s">
        <v>131</v>
      </c>
      <c r="C54">
        <v>53</v>
      </c>
      <c r="E54" t="s">
        <v>49</v>
      </c>
      <c r="F54" t="s">
        <v>27</v>
      </c>
      <c r="G54" t="s">
        <v>187</v>
      </c>
      <c r="H54" s="2">
        <v>44555</v>
      </c>
      <c r="I54" t="s">
        <v>53</v>
      </c>
      <c r="J54" t="s">
        <v>18</v>
      </c>
      <c r="K54" t="s">
        <v>21</v>
      </c>
      <c r="L54" t="s">
        <v>51</v>
      </c>
      <c r="M54" t="s">
        <v>39</v>
      </c>
      <c r="N54" s="1">
        <v>44558</v>
      </c>
      <c r="O54">
        <v>191.5</v>
      </c>
      <c r="P54" s="1">
        <v>44604</v>
      </c>
    </row>
    <row r="55" spans="1:16" x14ac:dyDescent="0.25">
      <c r="A55" t="s">
        <v>112</v>
      </c>
      <c r="B55" t="s">
        <v>131</v>
      </c>
      <c r="C55">
        <v>54</v>
      </c>
      <c r="F55" t="s">
        <v>27</v>
      </c>
      <c r="G55" t="s">
        <v>188</v>
      </c>
      <c r="H55" s="2">
        <v>44549</v>
      </c>
      <c r="I55" t="s">
        <v>53</v>
      </c>
      <c r="J55" t="s">
        <v>18</v>
      </c>
      <c r="K55" t="s">
        <v>56</v>
      </c>
      <c r="O55">
        <v>188.5</v>
      </c>
      <c r="P55" s="1">
        <v>44604</v>
      </c>
    </row>
    <row r="56" spans="1:16" x14ac:dyDescent="0.25">
      <c r="A56" t="s">
        <v>113</v>
      </c>
      <c r="B56" t="s">
        <v>131</v>
      </c>
      <c r="C56">
        <v>55</v>
      </c>
      <c r="F56" t="s">
        <v>27</v>
      </c>
      <c r="G56" t="s">
        <v>189</v>
      </c>
      <c r="H56" s="2">
        <v>44548</v>
      </c>
      <c r="I56" t="s">
        <v>53</v>
      </c>
      <c r="J56" t="s">
        <v>18</v>
      </c>
      <c r="K56" t="s">
        <v>21</v>
      </c>
      <c r="O56">
        <v>186.5</v>
      </c>
      <c r="P56" s="1">
        <v>44604</v>
      </c>
    </row>
    <row r="57" spans="1:16" x14ac:dyDescent="0.25">
      <c r="A57" t="s">
        <v>114</v>
      </c>
      <c r="B57" t="s">
        <v>131</v>
      </c>
      <c r="C57">
        <v>56</v>
      </c>
      <c r="E57" t="s">
        <v>34</v>
      </c>
      <c r="F57" t="s">
        <v>27</v>
      </c>
      <c r="G57" t="s">
        <v>190</v>
      </c>
      <c r="H57" s="2">
        <v>44538</v>
      </c>
      <c r="I57" t="s">
        <v>15</v>
      </c>
      <c r="J57" t="s">
        <v>17</v>
      </c>
      <c r="K57" t="s">
        <v>22</v>
      </c>
      <c r="L57" t="s">
        <v>51</v>
      </c>
      <c r="M57" t="s">
        <v>38</v>
      </c>
      <c r="N57" s="1">
        <v>44541</v>
      </c>
      <c r="O57">
        <v>186.5</v>
      </c>
      <c r="P57" s="1">
        <v>44604</v>
      </c>
    </row>
    <row r="58" spans="1:16" x14ac:dyDescent="0.25">
      <c r="A58" t="s">
        <v>115</v>
      </c>
      <c r="B58" t="s">
        <v>131</v>
      </c>
      <c r="C58">
        <v>57</v>
      </c>
      <c r="F58" t="s">
        <v>27</v>
      </c>
      <c r="G58" t="s">
        <v>191</v>
      </c>
      <c r="H58" s="2">
        <v>44527</v>
      </c>
      <c r="I58" t="s">
        <v>15</v>
      </c>
      <c r="J58" t="s">
        <v>17</v>
      </c>
      <c r="K58" t="s">
        <v>22</v>
      </c>
      <c r="O58">
        <v>186.5</v>
      </c>
      <c r="P58" s="1">
        <v>44604</v>
      </c>
    </row>
    <row r="59" spans="1:16" x14ac:dyDescent="0.25">
      <c r="A59" t="s">
        <v>116</v>
      </c>
      <c r="B59" t="s">
        <v>131</v>
      </c>
      <c r="C59">
        <v>58</v>
      </c>
      <c r="F59" t="s">
        <v>27</v>
      </c>
      <c r="G59" t="s">
        <v>192</v>
      </c>
      <c r="H59" s="2">
        <v>44520</v>
      </c>
      <c r="I59" t="s">
        <v>15</v>
      </c>
      <c r="J59" t="s">
        <v>17</v>
      </c>
      <c r="K59" t="s">
        <v>19</v>
      </c>
      <c r="L59" t="s">
        <v>19</v>
      </c>
      <c r="O59">
        <v>185</v>
      </c>
      <c r="P59" s="1">
        <v>44604</v>
      </c>
    </row>
    <row r="60" spans="1:16" x14ac:dyDescent="0.25">
      <c r="A60" t="s">
        <v>117</v>
      </c>
      <c r="B60" t="s">
        <v>131</v>
      </c>
      <c r="C60">
        <v>59</v>
      </c>
      <c r="F60" t="s">
        <v>27</v>
      </c>
      <c r="G60" t="s">
        <v>193</v>
      </c>
      <c r="H60" s="2">
        <v>44520</v>
      </c>
      <c r="I60" t="s">
        <v>15</v>
      </c>
      <c r="J60" t="s">
        <v>17</v>
      </c>
      <c r="K60" t="s">
        <v>32</v>
      </c>
      <c r="O60">
        <v>181.5</v>
      </c>
      <c r="P60" s="1">
        <v>44604</v>
      </c>
    </row>
    <row r="61" spans="1:16" x14ac:dyDescent="0.25">
      <c r="A61" t="s">
        <v>118</v>
      </c>
      <c r="B61" t="s">
        <v>131</v>
      </c>
      <c r="C61">
        <v>60</v>
      </c>
      <c r="F61" t="s">
        <v>27</v>
      </c>
      <c r="G61" t="s">
        <v>194</v>
      </c>
      <c r="H61" s="2">
        <v>44519</v>
      </c>
      <c r="I61" t="s">
        <v>15</v>
      </c>
      <c r="J61" t="s">
        <v>17</v>
      </c>
      <c r="K61" t="s">
        <v>23</v>
      </c>
      <c r="O61">
        <v>132</v>
      </c>
      <c r="P61" s="1">
        <v>44604</v>
      </c>
    </row>
    <row r="62" spans="1:16" x14ac:dyDescent="0.25">
      <c r="A62" t="s">
        <v>119</v>
      </c>
      <c r="B62" t="s">
        <v>131</v>
      </c>
      <c r="C62">
        <v>61</v>
      </c>
      <c r="F62" t="s">
        <v>27</v>
      </c>
      <c r="G62" t="s">
        <v>195</v>
      </c>
      <c r="H62" s="2">
        <v>44519</v>
      </c>
      <c r="I62" t="s">
        <v>15</v>
      </c>
      <c r="J62" t="s">
        <v>17</v>
      </c>
      <c r="K62" t="s">
        <v>23</v>
      </c>
      <c r="O62">
        <v>132</v>
      </c>
      <c r="P62" s="1">
        <v>44604</v>
      </c>
    </row>
    <row r="63" spans="1:16" x14ac:dyDescent="0.25">
      <c r="A63" t="s">
        <v>120</v>
      </c>
      <c r="B63" t="s">
        <v>131</v>
      </c>
      <c r="C63">
        <v>62</v>
      </c>
      <c r="F63" t="s">
        <v>27</v>
      </c>
      <c r="G63" t="s">
        <v>196</v>
      </c>
      <c r="H63" s="2">
        <v>44519</v>
      </c>
      <c r="I63" t="s">
        <v>15</v>
      </c>
      <c r="J63" t="s">
        <v>17</v>
      </c>
      <c r="K63" t="s">
        <v>23</v>
      </c>
      <c r="O63">
        <v>132</v>
      </c>
      <c r="P63" s="1">
        <v>44604</v>
      </c>
    </row>
    <row r="64" spans="1:16" x14ac:dyDescent="0.25">
      <c r="A64" t="s">
        <v>121</v>
      </c>
      <c r="B64" t="s">
        <v>131</v>
      </c>
      <c r="C64">
        <v>63</v>
      </c>
      <c r="F64" t="s">
        <v>27</v>
      </c>
      <c r="G64" t="s">
        <v>197</v>
      </c>
      <c r="H64" s="2">
        <v>44499</v>
      </c>
      <c r="I64" t="s">
        <v>15</v>
      </c>
      <c r="J64" t="s">
        <v>17</v>
      </c>
      <c r="K64" t="s">
        <v>32</v>
      </c>
      <c r="O64">
        <v>131.63999999999999</v>
      </c>
      <c r="P64" s="1">
        <v>44604</v>
      </c>
    </row>
    <row r="65" spans="1:16" x14ac:dyDescent="0.25">
      <c r="A65" t="s">
        <v>122</v>
      </c>
      <c r="B65" t="s">
        <v>131</v>
      </c>
      <c r="C65">
        <v>64</v>
      </c>
      <c r="F65" t="s">
        <v>27</v>
      </c>
      <c r="G65" t="s">
        <v>198</v>
      </c>
      <c r="H65" s="2">
        <v>44499</v>
      </c>
      <c r="I65" t="s">
        <v>15</v>
      </c>
      <c r="J65" t="s">
        <v>17</v>
      </c>
      <c r="K65" t="s">
        <v>23</v>
      </c>
      <c r="O65">
        <v>130</v>
      </c>
      <c r="P65" s="1">
        <v>44604</v>
      </c>
    </row>
    <row r="66" spans="1:16" x14ac:dyDescent="0.25">
      <c r="A66" t="s">
        <v>123</v>
      </c>
      <c r="B66" t="s">
        <v>131</v>
      </c>
      <c r="C66">
        <v>65</v>
      </c>
      <c r="F66" t="s">
        <v>27</v>
      </c>
      <c r="G66" t="s">
        <v>199</v>
      </c>
      <c r="H66" s="2">
        <v>44499</v>
      </c>
      <c r="I66" t="s">
        <v>15</v>
      </c>
      <c r="J66" t="s">
        <v>17</v>
      </c>
      <c r="K66" t="s">
        <v>57</v>
      </c>
      <c r="O66">
        <v>130</v>
      </c>
      <c r="P66" s="1">
        <v>44604</v>
      </c>
    </row>
    <row r="67" spans="1:16" x14ac:dyDescent="0.25">
      <c r="A67" t="s">
        <v>124</v>
      </c>
      <c r="B67" t="s">
        <v>131</v>
      </c>
      <c r="C67">
        <v>66</v>
      </c>
      <c r="F67" t="s">
        <v>27</v>
      </c>
      <c r="G67" t="s">
        <v>200</v>
      </c>
      <c r="H67" s="2">
        <v>44499</v>
      </c>
      <c r="I67" t="s">
        <v>15</v>
      </c>
      <c r="J67" t="s">
        <v>17</v>
      </c>
      <c r="K67" t="s">
        <v>22</v>
      </c>
      <c r="O67">
        <v>130</v>
      </c>
      <c r="P67" s="1">
        <v>44604</v>
      </c>
    </row>
    <row r="68" spans="1:16" x14ac:dyDescent="0.25">
      <c r="A68" t="s">
        <v>125</v>
      </c>
      <c r="B68" t="s">
        <v>131</v>
      </c>
      <c r="C68">
        <v>67</v>
      </c>
      <c r="F68" t="s">
        <v>27</v>
      </c>
      <c r="G68" t="s">
        <v>201</v>
      </c>
      <c r="H68" s="2">
        <v>44499</v>
      </c>
      <c r="I68" t="s">
        <v>15</v>
      </c>
      <c r="J68" t="s">
        <v>17</v>
      </c>
      <c r="K68" t="s">
        <v>32</v>
      </c>
      <c r="O68">
        <v>130</v>
      </c>
      <c r="P68" s="1">
        <v>44604</v>
      </c>
    </row>
    <row r="69" spans="1:16" x14ac:dyDescent="0.25">
      <c r="A69" t="s">
        <v>126</v>
      </c>
      <c r="B69" t="s">
        <v>131</v>
      </c>
      <c r="C69">
        <v>68</v>
      </c>
      <c r="F69" t="s">
        <v>27</v>
      </c>
      <c r="G69" t="s">
        <v>202</v>
      </c>
      <c r="H69" s="2">
        <v>44495</v>
      </c>
      <c r="I69" t="s">
        <v>15</v>
      </c>
      <c r="J69" t="s">
        <v>17</v>
      </c>
      <c r="K69" t="s">
        <v>22</v>
      </c>
      <c r="O69">
        <v>130</v>
      </c>
      <c r="P69" s="1">
        <v>44604</v>
      </c>
    </row>
    <row r="70" spans="1:16" x14ac:dyDescent="0.25">
      <c r="A70" t="s">
        <v>127</v>
      </c>
      <c r="B70" t="s">
        <v>131</v>
      </c>
      <c r="C70">
        <v>69</v>
      </c>
      <c r="F70" t="s">
        <v>27</v>
      </c>
      <c r="G70" t="s">
        <v>203</v>
      </c>
      <c r="H70" s="2">
        <v>44495</v>
      </c>
      <c r="I70" t="s">
        <v>15</v>
      </c>
      <c r="J70" t="s">
        <v>17</v>
      </c>
      <c r="K70" t="s">
        <v>22</v>
      </c>
      <c r="O70">
        <v>95</v>
      </c>
      <c r="P70" s="1">
        <v>44604</v>
      </c>
    </row>
    <row r="71" spans="1:16" x14ac:dyDescent="0.25">
      <c r="A71" t="s">
        <v>128</v>
      </c>
      <c r="B71" t="s">
        <v>131</v>
      </c>
      <c r="C71">
        <v>70</v>
      </c>
      <c r="F71" t="s">
        <v>27</v>
      </c>
      <c r="G71" t="s">
        <v>204</v>
      </c>
      <c r="H71" s="2">
        <v>44493</v>
      </c>
      <c r="I71" t="s">
        <v>15</v>
      </c>
      <c r="J71" t="s">
        <v>17</v>
      </c>
      <c r="K71" t="s">
        <v>32</v>
      </c>
      <c r="O71">
        <v>90</v>
      </c>
      <c r="P71" s="1">
        <v>44604</v>
      </c>
    </row>
    <row r="72" spans="1:16" x14ac:dyDescent="0.25">
      <c r="A72" t="s">
        <v>129</v>
      </c>
      <c r="B72" t="s">
        <v>131</v>
      </c>
      <c r="C72">
        <v>71</v>
      </c>
      <c r="F72" t="s">
        <v>27</v>
      </c>
      <c r="G72" t="s">
        <v>205</v>
      </c>
      <c r="H72" s="2">
        <v>44493</v>
      </c>
      <c r="I72" t="s">
        <v>15</v>
      </c>
      <c r="J72" t="s">
        <v>17</v>
      </c>
      <c r="K72" t="s">
        <v>32</v>
      </c>
      <c r="O72">
        <v>90</v>
      </c>
      <c r="P72" s="1">
        <v>44604</v>
      </c>
    </row>
    <row r="73" spans="1:16" x14ac:dyDescent="0.25">
      <c r="A73" t="s">
        <v>130</v>
      </c>
      <c r="B73" t="s">
        <v>131</v>
      </c>
      <c r="C73">
        <v>72</v>
      </c>
      <c r="F73" t="s">
        <v>27</v>
      </c>
      <c r="G73" t="s">
        <v>206</v>
      </c>
      <c r="H73" s="2">
        <v>44493</v>
      </c>
      <c r="I73" t="s">
        <v>15</v>
      </c>
      <c r="J73" t="s">
        <v>17</v>
      </c>
      <c r="K73" t="s">
        <v>32</v>
      </c>
      <c r="O73">
        <v>86.5</v>
      </c>
      <c r="P73" s="1">
        <v>44604</v>
      </c>
    </row>
    <row r="74" spans="1:16" x14ac:dyDescent="0.25">
      <c r="A74" t="s">
        <v>58</v>
      </c>
      <c r="B74" t="s">
        <v>131</v>
      </c>
      <c r="C74">
        <v>73</v>
      </c>
      <c r="F74" t="s">
        <v>27</v>
      </c>
      <c r="G74" t="s">
        <v>207</v>
      </c>
      <c r="H74" s="2">
        <v>44493</v>
      </c>
      <c r="I74" t="s">
        <v>15</v>
      </c>
      <c r="J74" t="s">
        <v>17</v>
      </c>
      <c r="K74" t="s">
        <v>32</v>
      </c>
      <c r="O74">
        <v>85</v>
      </c>
      <c r="P74" s="1">
        <v>44604</v>
      </c>
    </row>
    <row r="75" spans="1:16" x14ac:dyDescent="0.25">
      <c r="A75" t="s">
        <v>211</v>
      </c>
      <c r="B75" t="s">
        <v>131</v>
      </c>
      <c r="C75">
        <v>74</v>
      </c>
      <c r="F75" t="s">
        <v>27</v>
      </c>
      <c r="G75" t="s">
        <v>208</v>
      </c>
      <c r="H75" s="2">
        <v>44493</v>
      </c>
      <c r="I75" t="s">
        <v>15</v>
      </c>
      <c r="J75" t="s">
        <v>17</v>
      </c>
      <c r="K75" t="s">
        <v>19</v>
      </c>
      <c r="L75" t="s">
        <v>19</v>
      </c>
      <c r="O75">
        <v>85</v>
      </c>
      <c r="P75" s="1">
        <v>44604</v>
      </c>
    </row>
    <row r="76" spans="1:16" x14ac:dyDescent="0.25">
      <c r="A76" t="s">
        <v>210</v>
      </c>
      <c r="B76" t="s">
        <v>131</v>
      </c>
      <c r="C76">
        <v>75</v>
      </c>
      <c r="F76" t="s">
        <v>27</v>
      </c>
      <c r="G76" t="s">
        <v>209</v>
      </c>
      <c r="H76" s="2">
        <v>44486</v>
      </c>
      <c r="I76" t="s">
        <v>15</v>
      </c>
      <c r="J76" t="s">
        <v>17</v>
      </c>
      <c r="K76" t="s">
        <v>22</v>
      </c>
      <c r="O76">
        <v>85</v>
      </c>
      <c r="P76" s="1">
        <v>44604</v>
      </c>
    </row>
  </sheetData>
  <pageMargins left="0.7" right="0.7" top="0.75" bottom="0.75" header="0.3" footer="0.3"/>
  <customProperties>
    <customPr name="AblebitsBackupShee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#Sheet1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BRUCE</dc:creator>
  <cp:lastModifiedBy>ANDY BRUCE</cp:lastModifiedBy>
  <dcterms:created xsi:type="dcterms:W3CDTF">2022-02-17T07:44:58Z</dcterms:created>
  <dcterms:modified xsi:type="dcterms:W3CDTF">2022-02-22T08:57:23Z</dcterms:modified>
</cp:coreProperties>
</file>